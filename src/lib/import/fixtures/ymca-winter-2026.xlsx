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bookViews>
    <workbookView windowWidth="23145" windowHeight="9675"/>
  </bookViews>
  <sheets>
    <sheet name="冬 2026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<sst xmlns="http://schemas.openxmlformats.org/spreadsheetml/2006/main" count="90" uniqueCount="49">
  <si>
    <t>港青基信書院          冬       01/09/2026</t>
  </si>
  <si>
    <t>男</t>
  </si>
  <si>
    <t>女</t>
  </si>
  <si>
    <t>炭灰西装連背心</t>
  </si>
  <si>
    <t>34-38.5寸 長 同價</t>
  </si>
  <si>
    <t>占領恤</t>
  </si>
  <si>
    <t>連章</t>
  </si>
  <si>
    <t xml:space="preserve"> 2 件</t>
  </si>
  <si>
    <t xml:space="preserve"> 3 件</t>
  </si>
  <si>
    <t>炭灰</t>
  </si>
  <si>
    <t>長西褲</t>
  </si>
  <si>
    <t xml:space="preserve"> 2 條</t>
  </si>
  <si>
    <t>女西裝連背心</t>
  </si>
  <si>
    <t>女長恤</t>
  </si>
  <si>
    <t>半腰裙</t>
  </si>
  <si>
    <t>22-23</t>
  </si>
  <si>
    <t>24-26</t>
  </si>
  <si>
    <t>27-29</t>
  </si>
  <si>
    <t>30-32</t>
  </si>
  <si>
    <t>33-35</t>
  </si>
  <si>
    <t>裁碼</t>
  </si>
  <si>
    <t>底衫</t>
  </si>
  <si>
    <t>2件</t>
  </si>
  <si>
    <t>男呔            44</t>
  </si>
  <si>
    <t>16-18</t>
  </si>
  <si>
    <t xml:space="preserve">男藍袜  </t>
  </si>
  <si>
    <t>40 寸長</t>
  </si>
  <si>
    <t>加 $10</t>
  </si>
  <si>
    <t>女呔</t>
  </si>
  <si>
    <t>女灰長袜</t>
  </si>
  <si>
    <t>S-XL</t>
  </si>
  <si>
    <t>41.5寸長</t>
  </si>
  <si>
    <t>加 $20</t>
  </si>
  <si>
    <t>43寸長或以上</t>
  </si>
  <si>
    <t>加 $30</t>
  </si>
  <si>
    <t>撊棉長褸</t>
  </si>
  <si>
    <t>V背心</t>
  </si>
  <si>
    <t>V長袖</t>
  </si>
  <si>
    <t>冬運套</t>
  </si>
  <si>
    <t>單衣/褲</t>
  </si>
  <si>
    <t>夏運褲</t>
  </si>
  <si>
    <t>四社</t>
  </si>
  <si>
    <t>夏運衣</t>
  </si>
  <si>
    <t>XS</t>
  </si>
  <si>
    <t>S</t>
  </si>
  <si>
    <t>M</t>
  </si>
  <si>
    <t>L</t>
  </si>
  <si>
    <t>XL</t>
  </si>
  <si>
    <t>XXL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</si>
</sst>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(* #,##0_);_(* \(#,##0\);_(* &quot;-&quot;_);_(@_)"/>
    <numFmt numFmtId="42" formatCode="_(&quot;HK$&quot;* #,##0_);_(&quot;HK$&quot;* \(#,##0\);_(&quot;HK$&quot;* &quot;-&quot;_);_(@_)"/>
    <numFmt numFmtId="43" formatCode="_(* #,##0.00_);_(* \(#,##0.00\);_(* &quot;-&quot;??_);_(@_)"/>
    <numFmt numFmtId="176" formatCode="_(&quot;HK$&quot;* #,##0.00_);_(&quot;HK$&quot;* \(#,##0.00\);_(&quot;HK$&quot;* &quot;-&quot;??_);_(@_)"/>
    <numFmt numFmtId="177" formatCode="&quot;$&quot;#,##0;[Red]\-&quot;$&quot;#,##0"/>
    <numFmt numFmtId="178" formatCode="0_ "/>
  </numFmts>
  <fonts count="27">
    <font>
      <sz val="11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b/>
      <sz val="16"/>
      <color theme="1"/>
      <name val="PMingLiu"/>
      <charset val="134"/>
    </font>
    <font>
      <sz val="12"/>
      <name val="宋体"/>
      <charset val="134"/>
      <scheme val="minor"/>
    </font>
    <font>
      <b/>
      <sz val="25"/>
      <color theme="1"/>
      <name val="PMingLiu"/>
      <charset val="134"/>
    </font>
    <font>
      <b/>
      <sz val="16"/>
      <color rgb="FF000000"/>
      <name val="PMingLiu"/>
      <charset val="134"/>
    </font>
    <font>
      <b/>
      <sz val="16"/>
      <color theme="1"/>
      <name val="宋体"/>
      <charset val="134"/>
      <scheme val="minor"/>
    </font>
    <font>
      <b/>
      <sz val="16"/>
      <color rgb="FFFF0000"/>
      <name val="PMingLiu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 style="thin">
        <color rgb="FFA5A5A5"/>
      </right>
      <top style="medium">
        <color rgb="FF000000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medium">
        <color rgb="FF000000"/>
      </top>
      <bottom style="thin">
        <color rgb="FFA5A5A5"/>
      </bottom>
      <diagonal/>
    </border>
    <border>
      <left style="thin">
        <color rgb="FFA5A5A5"/>
      </left>
      <right/>
      <top style="medium">
        <color rgb="FF000000"/>
      </top>
      <bottom style="thin">
        <color rgb="FFA5A5A5"/>
      </bottom>
      <diagonal/>
    </border>
    <border>
      <left/>
      <right/>
      <top style="medium">
        <color rgb="FF000000"/>
      </top>
      <bottom style="thin">
        <color rgb="FFA5A5A5"/>
      </bottom>
      <diagonal/>
    </border>
    <border>
      <left/>
      <right style="thin">
        <color rgb="FFA5A5A5"/>
      </right>
      <top style="medium">
        <color rgb="FF000000"/>
      </top>
      <bottom style="thin">
        <color rgb="FFA5A5A5"/>
      </bottom>
      <diagonal/>
    </border>
    <border>
      <left style="thin">
        <color rgb="FFA5A5A5"/>
      </left>
      <right style="medium">
        <color rgb="FF000000"/>
      </right>
      <top style="medium">
        <color rgb="FF000000"/>
      </top>
      <bottom style="thin">
        <color rgb="FFA5A5A5"/>
      </bottom>
      <diagonal/>
    </border>
    <border>
      <left style="medium">
        <color rgb="FF000000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/>
      <top style="thin">
        <color rgb="FFA5A5A5"/>
      </top>
      <bottom/>
      <diagonal/>
    </border>
    <border>
      <left/>
      <right/>
      <top style="thin">
        <color rgb="FFA5A5A5"/>
      </top>
      <bottom/>
      <diagonal/>
    </border>
    <border>
      <left/>
      <right style="thin">
        <color rgb="FFA5A5A5"/>
      </right>
      <top style="thin">
        <color rgb="FFA5A5A5"/>
      </top>
      <bottom/>
      <diagonal/>
    </border>
    <border>
      <left style="thin">
        <color rgb="FFA5A5A5"/>
      </left>
      <right style="medium">
        <color rgb="FF000000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/>
      <top/>
      <bottom style="thin">
        <color rgb="FFA5A5A5"/>
      </bottom>
      <diagonal/>
    </border>
    <border>
      <left/>
      <right/>
      <top/>
      <bottom style="thin">
        <color rgb="FFA5A5A5"/>
      </bottom>
      <diagonal/>
    </border>
    <border>
      <left/>
      <right style="thin">
        <color rgb="FFA5A5A5"/>
      </right>
      <top/>
      <bottom style="thin">
        <color rgb="FFA5A5A5"/>
      </bottom>
      <diagonal/>
    </border>
    <border>
      <left style="medium">
        <color rgb="FF000000"/>
      </left>
      <right style="thin">
        <color rgb="FFA5A5A5"/>
      </right>
      <top style="thin">
        <color rgb="FFA5A5A5"/>
      </top>
      <bottom style="medium">
        <color rgb="FF000000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medium">
        <color rgb="FF000000"/>
      </bottom>
      <diagonal/>
    </border>
    <border>
      <left style="thin">
        <color rgb="FFA5A5A5"/>
      </left>
      <right style="medium">
        <color rgb="FF000000"/>
      </right>
      <top style="thin">
        <color rgb="FFA5A5A5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9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0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5" fillId="0" borderId="21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22" applyNumberFormat="0" applyAlignment="0" applyProtection="0">
      <alignment vertical="center"/>
    </xf>
    <xf numFmtId="0" fontId="17" fillId="4" borderId="23" applyNumberFormat="0" applyAlignment="0" applyProtection="0">
      <alignment vertical="center"/>
    </xf>
    <xf numFmtId="0" fontId="18" fillId="4" borderId="22" applyNumberFormat="0" applyAlignment="0" applyProtection="0">
      <alignment vertical="center"/>
    </xf>
    <xf numFmtId="0" fontId="19" fillId="5" borderId="24" applyNumberFormat="0" applyAlignment="0" applyProtection="0">
      <alignment vertical="center"/>
    </xf>
    <xf numFmtId="0" fontId="20" fillId="0" borderId="25" applyNumberFormat="0" applyFill="0" applyAlignment="0" applyProtection="0">
      <alignment vertical="center"/>
    </xf>
    <xf numFmtId="0" fontId="21" fillId="0" borderId="26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/>
    <xf numFmtId="0" fontId="3" fillId="0" borderId="5" xfId="0" applyFont="1" applyFill="1" applyBorder="1" applyAlignment="1"/>
    <xf numFmtId="0" fontId="2" fillId="0" borderId="6" xfId="0" applyFont="1" applyFill="1" applyBorder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7" xfId="0" applyFont="1" applyFill="1" applyBorder="1" applyAlignment="1">
      <alignment vertical="center"/>
    </xf>
    <xf numFmtId="0" fontId="2" fillId="0" borderId="8" xfId="0" applyFont="1" applyFill="1" applyBorder="1" applyAlignment="1">
      <alignment vertical="center"/>
    </xf>
    <xf numFmtId="0" fontId="4" fillId="0" borderId="9" xfId="0" applyFont="1" applyFill="1" applyBorder="1" applyAlignment="1">
      <alignment horizontal="center" vertical="center"/>
    </xf>
    <xf numFmtId="0" fontId="3" fillId="0" borderId="10" xfId="0" applyFont="1" applyFill="1" applyBorder="1" applyAlignment="1"/>
    <xf numFmtId="0" fontId="3" fillId="0" borderId="11" xfId="0" applyFont="1" applyFill="1" applyBorder="1" applyAlignment="1"/>
    <xf numFmtId="0" fontId="2" fillId="0" borderId="12" xfId="0" applyFont="1" applyFill="1" applyBorder="1" applyAlignment="1">
      <alignment vertical="center"/>
    </xf>
    <xf numFmtId="0" fontId="2" fillId="0" borderId="7" xfId="0" applyFont="1" applyFill="1" applyBorder="1" applyAlignment="1">
      <alignment horizontal="left" vertical="center"/>
    </xf>
    <xf numFmtId="0" fontId="3" fillId="0" borderId="13" xfId="0" applyFont="1" applyFill="1" applyBorder="1" applyAlignment="1"/>
    <xf numFmtId="0" fontId="3" fillId="0" borderId="14" xfId="0" applyFont="1" applyFill="1" applyBorder="1" applyAlignment="1"/>
    <xf numFmtId="0" fontId="3" fillId="0" borderId="15" xfId="0" applyFont="1" applyFill="1" applyBorder="1" applyAlignment="1"/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1" fontId="2" fillId="0" borderId="8" xfId="0" applyNumberFormat="1" applyFont="1" applyFill="1" applyBorder="1" applyAlignment="1">
      <alignment horizontal="center" vertical="center"/>
    </xf>
    <xf numFmtId="0" fontId="5" fillId="0" borderId="7" xfId="0" applyFont="1" applyFill="1" applyBorder="1" applyAlignment="1">
      <alignment vertical="center"/>
    </xf>
    <xf numFmtId="0" fontId="5" fillId="0" borderId="8" xfId="0" applyFont="1" applyFill="1" applyBorder="1" applyAlignment="1">
      <alignment vertical="center"/>
    </xf>
    <xf numFmtId="0" fontId="6" fillId="0" borderId="0" xfId="0" applyFont="1" applyFill="1" applyAlignment="1">
      <alignment horizontal="center" vertical="center"/>
    </xf>
    <xf numFmtId="177" fontId="2" fillId="0" borderId="8" xfId="0" applyNumberFormat="1" applyFont="1" applyFill="1" applyBorder="1" applyAlignment="1">
      <alignment horizontal="center" vertical="center"/>
    </xf>
    <xf numFmtId="49" fontId="2" fillId="0" borderId="8" xfId="0" applyNumberFormat="1" applyFont="1" applyFill="1" applyBorder="1" applyAlignment="1">
      <alignment horizontal="center" vertical="center"/>
    </xf>
    <xf numFmtId="178" fontId="2" fillId="0" borderId="8" xfId="0" applyNumberFormat="1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vertical="center"/>
    </xf>
    <xf numFmtId="0" fontId="2" fillId="0" borderId="17" xfId="0" applyFont="1" applyFill="1" applyBorder="1" applyAlignment="1">
      <alignment vertical="center"/>
    </xf>
    <xf numFmtId="0" fontId="2" fillId="0" borderId="17" xfId="0" applyFont="1" applyFill="1" applyBorder="1" applyAlignment="1">
      <alignment horizontal="center" vertical="center"/>
    </xf>
    <xf numFmtId="0" fontId="7" fillId="0" borderId="17" xfId="0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6" fillId="0" borderId="0" xfId="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Z1000"/>
  <sheetViews>
    <sheetView tabSelected="1" workbookViewId="0">
      <selection activeCell="C1" sqref="C1:I1"/>
    </sheetView>
  </sheetViews>
  <sheetFormatPr defaultColWidth="11.2166666666667" defaultRowHeight="15" customHeight="1"/>
  <cols>
    <col min="1" max="2" width="11.2166666666667" style="1" customWidth="1"/>
    <col min="3" max="3" width="1.21666666666667" style="1" customWidth="1"/>
    <col min="4" max="7" width="11.2166666666667" style="1" customWidth="1"/>
    <col min="8" max="8" width="1.21666666666667" style="1" customWidth="1"/>
    <col min="9" max="11" width="11.2166666666667" style="1" customWidth="1"/>
    <col min="12" max="12" width="9" style="1" customWidth="1"/>
    <col min="13" max="14" width="11.2166666666667" style="1" customWidth="1"/>
    <col min="15" max="15" width="1.21666666666667" style="1" customWidth="1"/>
    <col min="16" max="19" width="11.2166666666667" style="1" customWidth="1"/>
    <col min="20" max="20" width="1.21666666666667" style="1" customWidth="1"/>
    <col min="21" max="23" width="11.2166666666667" style="1" customWidth="1"/>
    <col min="24" max="26" width="8" style="1" customWidth="1"/>
    <col min="27" max="16384" width="11.2166666666667" style="1"/>
  </cols>
  <sheetData>
    <row r="1" ht="24" customHeight="1" spans="1:26">
      <c r="A1" s="2"/>
      <c r="B1" s="3"/>
      <c r="C1" s="4" t="s">
        <v>0</v>
      </c>
      <c r="D1" s="5"/>
      <c r="E1" s="5"/>
      <c r="F1" s="5"/>
      <c r="G1" s="5"/>
      <c r="H1" s="5"/>
      <c r="I1" s="6"/>
      <c r="J1" s="3"/>
      <c r="K1" s="7"/>
      <c r="L1" s="8"/>
      <c r="M1" s="2"/>
      <c r="N1" s="3"/>
      <c r="O1" s="4" t="s">
        <v>0</v>
      </c>
      <c r="P1" s="5"/>
      <c r="Q1" s="5"/>
      <c r="R1" s="5"/>
      <c r="S1" s="5"/>
      <c r="T1" s="5"/>
      <c r="U1" s="6"/>
      <c r="V1" s="3"/>
      <c r="W1" s="7"/>
      <c r="X1" s="9"/>
      <c r="Y1" s="9"/>
      <c r="Z1" s="9"/>
    </row>
    <row r="2" ht="24" customHeight="1" spans="1:26">
      <c r="A2" s="10"/>
      <c r="B2" s="11"/>
      <c r="C2" s="11"/>
      <c r="D2" s="12" t="s">
        <v>1</v>
      </c>
      <c r="E2" s="13"/>
      <c r="F2" s="13"/>
      <c r="G2" s="14"/>
      <c r="H2" s="11"/>
      <c r="I2" s="11"/>
      <c r="J2" s="11"/>
      <c r="K2" s="15"/>
      <c r="L2" s="8"/>
      <c r="M2" s="10"/>
      <c r="N2" s="11"/>
      <c r="O2" s="11"/>
      <c r="P2" s="12" t="s">
        <v>2</v>
      </c>
      <c r="Q2" s="13"/>
      <c r="R2" s="13"/>
      <c r="S2" s="14"/>
      <c r="T2" s="11"/>
      <c r="U2" s="11"/>
      <c r="V2" s="11"/>
      <c r="W2" s="15"/>
      <c r="X2" s="9"/>
      <c r="Y2" s="9"/>
      <c r="Z2" s="9"/>
    </row>
    <row r="3" ht="24" customHeight="1" spans="1:26">
      <c r="A3" s="16" t="s">
        <v>3</v>
      </c>
      <c r="B3" s="11"/>
      <c r="C3" s="11"/>
      <c r="D3" s="17"/>
      <c r="E3" s="18"/>
      <c r="F3" s="18"/>
      <c r="G3" s="19"/>
      <c r="H3" s="11"/>
      <c r="I3" s="11" t="s">
        <v>4</v>
      </c>
      <c r="J3" s="11"/>
      <c r="K3" s="15"/>
      <c r="L3" s="8"/>
      <c r="M3" s="10"/>
      <c r="N3" s="11"/>
      <c r="O3" s="11"/>
      <c r="P3" s="17"/>
      <c r="Q3" s="18"/>
      <c r="R3" s="18"/>
      <c r="S3" s="19"/>
      <c r="T3" s="11"/>
      <c r="U3" s="11"/>
      <c r="V3" s="11"/>
      <c r="W3" s="15"/>
      <c r="X3" s="9"/>
      <c r="Y3" s="9"/>
      <c r="Z3" s="9"/>
    </row>
    <row r="4" ht="24" customHeight="1" spans="1:26">
      <c r="A4" s="20">
        <v>40</v>
      </c>
      <c r="B4" s="21">
        <v>454</v>
      </c>
      <c r="C4" s="21"/>
      <c r="D4" s="21" t="s">
        <v>5</v>
      </c>
      <c r="E4" s="21" t="s">
        <v>6</v>
      </c>
      <c r="F4" s="21" t="s">
        <v>7</v>
      </c>
      <c r="G4" s="21" t="s">
        <v>8</v>
      </c>
      <c r="H4" s="21"/>
      <c r="I4" s="21" t="s">
        <v>9</v>
      </c>
      <c r="J4" s="21" t="s">
        <v>10</v>
      </c>
      <c r="K4" s="22" t="s">
        <v>11</v>
      </c>
      <c r="L4" s="8"/>
      <c r="M4" s="16" t="s">
        <v>12</v>
      </c>
      <c r="N4" s="21"/>
      <c r="O4" s="21"/>
      <c r="P4" s="21"/>
      <c r="Q4" s="21" t="s">
        <v>13</v>
      </c>
      <c r="R4" s="21" t="s">
        <v>7</v>
      </c>
      <c r="S4" s="21" t="s">
        <v>8</v>
      </c>
      <c r="T4" s="21"/>
      <c r="U4" s="11"/>
      <c r="V4" s="21" t="s">
        <v>14</v>
      </c>
      <c r="W4" s="22" t="s">
        <v>11</v>
      </c>
      <c r="X4" s="9"/>
      <c r="Y4" s="9"/>
      <c r="Z4" s="9"/>
    </row>
    <row r="5" ht="24" customHeight="1" spans="1:26">
      <c r="A5" s="20">
        <v>42</v>
      </c>
      <c r="B5" s="21">
        <v>474</v>
      </c>
      <c r="C5" s="21"/>
      <c r="D5" s="21">
        <v>12</v>
      </c>
      <c r="E5" s="21">
        <v>54</v>
      </c>
      <c r="F5" s="21">
        <f t="shared" ref="F5:F14" si="0">E5*2</f>
        <v>108</v>
      </c>
      <c r="G5" s="21">
        <f t="shared" ref="G5:G14" si="1">E5*3</f>
        <v>162</v>
      </c>
      <c r="H5" s="21"/>
      <c r="I5" s="21">
        <v>23</v>
      </c>
      <c r="J5" s="23">
        <v>93</v>
      </c>
      <c r="K5" s="22">
        <f t="shared" ref="K5:K13" si="2">J5*2</f>
        <v>186</v>
      </c>
      <c r="L5" s="8"/>
      <c r="M5" s="20">
        <v>32</v>
      </c>
      <c r="N5" s="21">
        <v>434</v>
      </c>
      <c r="O5" s="21"/>
      <c r="P5" s="21">
        <v>12</v>
      </c>
      <c r="Q5" s="21">
        <v>68</v>
      </c>
      <c r="R5" s="21">
        <f t="shared" ref="R5:R13" si="3">Q5*2</f>
        <v>136</v>
      </c>
      <c r="S5" s="21">
        <f t="shared" ref="S5:S13" si="4">Q5*3</f>
        <v>204</v>
      </c>
      <c r="T5" s="21"/>
      <c r="U5" s="21" t="s">
        <v>15</v>
      </c>
      <c r="V5" s="21">
        <v>98</v>
      </c>
      <c r="W5" s="22">
        <f t="shared" ref="W5:W10" si="5">V5*2</f>
        <v>196</v>
      </c>
      <c r="X5" s="9"/>
      <c r="Y5" s="9"/>
      <c r="Z5" s="9"/>
    </row>
    <row r="6" ht="24" customHeight="1" spans="1:26">
      <c r="A6" s="20">
        <v>44</v>
      </c>
      <c r="B6" s="21">
        <v>489</v>
      </c>
      <c r="C6" s="21"/>
      <c r="D6" s="21">
        <v>12.5</v>
      </c>
      <c r="E6" s="21">
        <v>57</v>
      </c>
      <c r="F6" s="21">
        <f t="shared" si="0"/>
        <v>114</v>
      </c>
      <c r="G6" s="21">
        <f t="shared" si="1"/>
        <v>171</v>
      </c>
      <c r="H6" s="21"/>
      <c r="I6" s="21">
        <v>24</v>
      </c>
      <c r="J6" s="23">
        <v>96</v>
      </c>
      <c r="K6" s="22">
        <f t="shared" si="2"/>
        <v>192</v>
      </c>
      <c r="L6" s="8"/>
      <c r="M6" s="20">
        <v>34</v>
      </c>
      <c r="N6" s="21">
        <v>449</v>
      </c>
      <c r="O6" s="21"/>
      <c r="P6" s="21">
        <v>12.5</v>
      </c>
      <c r="Q6" s="21">
        <v>71</v>
      </c>
      <c r="R6" s="21">
        <f t="shared" si="3"/>
        <v>142</v>
      </c>
      <c r="S6" s="21">
        <f t="shared" si="4"/>
        <v>213</v>
      </c>
      <c r="T6" s="21"/>
      <c r="U6" s="21" t="s">
        <v>16</v>
      </c>
      <c r="V6" s="21">
        <v>108</v>
      </c>
      <c r="W6" s="22">
        <f t="shared" si="5"/>
        <v>216</v>
      </c>
      <c r="X6" s="9"/>
      <c r="Y6" s="9"/>
      <c r="Z6" s="9"/>
    </row>
    <row r="7" ht="24" customHeight="1" spans="1:26">
      <c r="A7" s="20">
        <v>46</v>
      </c>
      <c r="B7" s="21">
        <v>509</v>
      </c>
      <c r="C7" s="21"/>
      <c r="D7" s="21">
        <v>13</v>
      </c>
      <c r="E7" s="21">
        <v>60</v>
      </c>
      <c r="F7" s="21">
        <f t="shared" si="0"/>
        <v>120</v>
      </c>
      <c r="G7" s="21">
        <f t="shared" si="1"/>
        <v>180</v>
      </c>
      <c r="H7" s="21"/>
      <c r="I7" s="21">
        <v>25</v>
      </c>
      <c r="J7" s="23">
        <v>99</v>
      </c>
      <c r="K7" s="22">
        <f t="shared" si="2"/>
        <v>198</v>
      </c>
      <c r="L7" s="8"/>
      <c r="M7" s="20">
        <v>36</v>
      </c>
      <c r="N7" s="21">
        <v>464</v>
      </c>
      <c r="O7" s="21"/>
      <c r="P7" s="21">
        <v>13</v>
      </c>
      <c r="Q7" s="21">
        <v>74</v>
      </c>
      <c r="R7" s="21">
        <f t="shared" si="3"/>
        <v>148</v>
      </c>
      <c r="S7" s="21">
        <f t="shared" si="4"/>
        <v>222</v>
      </c>
      <c r="T7" s="21"/>
      <c r="U7" s="21" t="s">
        <v>17</v>
      </c>
      <c r="V7" s="21">
        <v>120</v>
      </c>
      <c r="W7" s="22">
        <f t="shared" si="5"/>
        <v>240</v>
      </c>
      <c r="X7" s="9"/>
      <c r="Y7" s="9"/>
      <c r="Z7" s="9"/>
    </row>
    <row r="8" ht="24" customHeight="1" spans="1:26">
      <c r="A8" s="20">
        <v>48</v>
      </c>
      <c r="B8" s="21">
        <v>529</v>
      </c>
      <c r="C8" s="21"/>
      <c r="D8" s="21">
        <v>13.5</v>
      </c>
      <c r="E8" s="21">
        <v>63</v>
      </c>
      <c r="F8" s="21">
        <f t="shared" si="0"/>
        <v>126</v>
      </c>
      <c r="G8" s="21">
        <f t="shared" si="1"/>
        <v>189</v>
      </c>
      <c r="H8" s="21"/>
      <c r="I8" s="21">
        <v>26</v>
      </c>
      <c r="J8" s="23">
        <v>102</v>
      </c>
      <c r="K8" s="22">
        <f t="shared" si="2"/>
        <v>204</v>
      </c>
      <c r="L8" s="8"/>
      <c r="M8" s="20">
        <v>38</v>
      </c>
      <c r="N8" s="21">
        <v>484</v>
      </c>
      <c r="O8" s="21"/>
      <c r="P8" s="21">
        <v>13.5</v>
      </c>
      <c r="Q8" s="21">
        <v>77</v>
      </c>
      <c r="R8" s="21">
        <f t="shared" si="3"/>
        <v>154</v>
      </c>
      <c r="S8" s="21">
        <f t="shared" si="4"/>
        <v>231</v>
      </c>
      <c r="T8" s="21"/>
      <c r="U8" s="21" t="s">
        <v>18</v>
      </c>
      <c r="V8" s="21">
        <v>138</v>
      </c>
      <c r="W8" s="22">
        <f t="shared" si="5"/>
        <v>276</v>
      </c>
      <c r="X8" s="9"/>
      <c r="Y8" s="9"/>
      <c r="Z8" s="9"/>
    </row>
    <row r="9" ht="24" customHeight="1" spans="1:26">
      <c r="A9" s="20">
        <v>50</v>
      </c>
      <c r="B9" s="21">
        <v>554</v>
      </c>
      <c r="C9" s="21"/>
      <c r="D9" s="21">
        <v>14</v>
      </c>
      <c r="E9" s="21">
        <v>67</v>
      </c>
      <c r="F9" s="21">
        <f t="shared" si="0"/>
        <v>134</v>
      </c>
      <c r="G9" s="21">
        <f t="shared" si="1"/>
        <v>201</v>
      </c>
      <c r="H9" s="21"/>
      <c r="I9" s="21">
        <v>27</v>
      </c>
      <c r="J9" s="23">
        <v>106</v>
      </c>
      <c r="K9" s="22">
        <f t="shared" si="2"/>
        <v>212</v>
      </c>
      <c r="L9" s="8"/>
      <c r="M9" s="20">
        <v>40</v>
      </c>
      <c r="N9" s="21">
        <v>504</v>
      </c>
      <c r="O9" s="11"/>
      <c r="P9" s="21">
        <v>14</v>
      </c>
      <c r="Q9" s="21">
        <v>81</v>
      </c>
      <c r="R9" s="21">
        <f t="shared" si="3"/>
        <v>162</v>
      </c>
      <c r="S9" s="21">
        <f t="shared" si="4"/>
        <v>243</v>
      </c>
      <c r="T9" s="21"/>
      <c r="U9" s="21" t="s">
        <v>19</v>
      </c>
      <c r="V9" s="21">
        <v>158</v>
      </c>
      <c r="W9" s="22">
        <f t="shared" si="5"/>
        <v>316</v>
      </c>
      <c r="X9" s="9"/>
      <c r="Y9" s="9"/>
      <c r="Z9" s="9"/>
    </row>
    <row r="10" ht="24" customHeight="1" spans="1:26">
      <c r="A10" s="20">
        <v>52</v>
      </c>
      <c r="B10" s="21">
        <v>579</v>
      </c>
      <c r="C10" s="21"/>
      <c r="D10" s="21">
        <v>14.5</v>
      </c>
      <c r="E10" s="21">
        <v>74</v>
      </c>
      <c r="F10" s="21">
        <f t="shared" si="0"/>
        <v>148</v>
      </c>
      <c r="G10" s="21">
        <f t="shared" si="1"/>
        <v>222</v>
      </c>
      <c r="H10" s="21"/>
      <c r="I10" s="21">
        <v>28</v>
      </c>
      <c r="J10" s="23">
        <v>113</v>
      </c>
      <c r="K10" s="22">
        <f t="shared" si="2"/>
        <v>226</v>
      </c>
      <c r="L10" s="8"/>
      <c r="M10" s="20">
        <v>42</v>
      </c>
      <c r="N10" s="21">
        <v>524</v>
      </c>
      <c r="O10" s="11"/>
      <c r="P10" s="21">
        <v>14.5</v>
      </c>
      <c r="Q10" s="21">
        <v>87</v>
      </c>
      <c r="R10" s="21">
        <f t="shared" si="3"/>
        <v>174</v>
      </c>
      <c r="S10" s="21">
        <f t="shared" si="4"/>
        <v>261</v>
      </c>
      <c r="T10" s="21"/>
      <c r="U10" s="21" t="s">
        <v>20</v>
      </c>
      <c r="V10" s="21">
        <v>188</v>
      </c>
      <c r="W10" s="22">
        <f t="shared" si="5"/>
        <v>376</v>
      </c>
      <c r="X10" s="9"/>
      <c r="Y10" s="9"/>
      <c r="Z10" s="9"/>
    </row>
    <row r="11" ht="24" customHeight="1" spans="1:26">
      <c r="A11" s="20" t="s">
        <v>20</v>
      </c>
      <c r="B11" s="21">
        <v>619</v>
      </c>
      <c r="C11" s="21"/>
      <c r="D11" s="21">
        <v>15</v>
      </c>
      <c r="E11" s="21">
        <v>82</v>
      </c>
      <c r="F11" s="21">
        <f t="shared" si="0"/>
        <v>164</v>
      </c>
      <c r="G11" s="21">
        <f t="shared" si="1"/>
        <v>246</v>
      </c>
      <c r="H11" s="21"/>
      <c r="I11" s="21">
        <v>29</v>
      </c>
      <c r="J11" s="23">
        <v>121</v>
      </c>
      <c r="K11" s="22">
        <f t="shared" si="2"/>
        <v>242</v>
      </c>
      <c r="L11" s="8"/>
      <c r="M11" s="20">
        <v>44</v>
      </c>
      <c r="N11" s="21">
        <v>549</v>
      </c>
      <c r="O11" s="11"/>
      <c r="P11" s="21">
        <v>15</v>
      </c>
      <c r="Q11" s="21">
        <v>95</v>
      </c>
      <c r="R11" s="21">
        <f t="shared" si="3"/>
        <v>190</v>
      </c>
      <c r="S11" s="21">
        <f t="shared" si="4"/>
        <v>285</v>
      </c>
      <c r="T11" s="11"/>
      <c r="U11" s="11"/>
      <c r="V11" s="11"/>
      <c r="W11" s="15"/>
      <c r="X11" s="9"/>
      <c r="Y11" s="9"/>
      <c r="Z11" s="9"/>
    </row>
    <row r="12" ht="24" customHeight="1" spans="1:26">
      <c r="A12" s="10"/>
      <c r="B12" s="11"/>
      <c r="C12" s="21"/>
      <c r="D12" s="21">
        <v>15.5</v>
      </c>
      <c r="E12" s="21">
        <v>89</v>
      </c>
      <c r="F12" s="21">
        <f t="shared" si="0"/>
        <v>178</v>
      </c>
      <c r="G12" s="21">
        <f t="shared" si="1"/>
        <v>267</v>
      </c>
      <c r="H12" s="21"/>
      <c r="I12" s="21">
        <v>30</v>
      </c>
      <c r="J12" s="23">
        <v>128</v>
      </c>
      <c r="K12" s="22">
        <f t="shared" si="2"/>
        <v>256</v>
      </c>
      <c r="L12" s="8"/>
      <c r="M12" s="20" t="s">
        <v>20</v>
      </c>
      <c r="N12" s="21">
        <v>589</v>
      </c>
      <c r="O12" s="21"/>
      <c r="P12" s="21">
        <v>15.5</v>
      </c>
      <c r="Q12" s="21">
        <v>103</v>
      </c>
      <c r="R12" s="21">
        <f t="shared" si="3"/>
        <v>206</v>
      </c>
      <c r="S12" s="21">
        <f t="shared" si="4"/>
        <v>309</v>
      </c>
      <c r="T12" s="11"/>
      <c r="U12" s="21"/>
      <c r="V12" s="21"/>
      <c r="W12" s="15"/>
      <c r="X12" s="9"/>
      <c r="Y12" s="9"/>
      <c r="Z12" s="9"/>
    </row>
    <row r="13" ht="24" customHeight="1" spans="1:26">
      <c r="A13" s="24"/>
      <c r="B13" s="25"/>
      <c r="C13" s="21"/>
      <c r="D13" s="21">
        <v>16</v>
      </c>
      <c r="E13" s="21">
        <v>96</v>
      </c>
      <c r="F13" s="21">
        <f t="shared" si="0"/>
        <v>192</v>
      </c>
      <c r="G13" s="21">
        <f t="shared" si="1"/>
        <v>288</v>
      </c>
      <c r="H13" s="11"/>
      <c r="I13" s="21" t="s">
        <v>20</v>
      </c>
      <c r="J13" s="23">
        <v>158</v>
      </c>
      <c r="K13" s="22">
        <f t="shared" si="2"/>
        <v>316</v>
      </c>
      <c r="L13" s="8"/>
      <c r="M13" s="10"/>
      <c r="N13" s="11"/>
      <c r="O13" s="11"/>
      <c r="P13" s="21" t="s">
        <v>20</v>
      </c>
      <c r="Q13" s="21">
        <v>129</v>
      </c>
      <c r="R13" s="21">
        <f t="shared" si="3"/>
        <v>258</v>
      </c>
      <c r="S13" s="21">
        <f t="shared" si="4"/>
        <v>387</v>
      </c>
      <c r="T13" s="11"/>
      <c r="U13" s="21"/>
      <c r="V13" s="26" t="s">
        <v>21</v>
      </c>
      <c r="W13" s="22" t="s">
        <v>22</v>
      </c>
      <c r="X13" s="9"/>
      <c r="Y13" s="9"/>
      <c r="Z13" s="9"/>
    </row>
    <row r="14" ht="24" customHeight="1" spans="1:26">
      <c r="A14" s="10" t="s">
        <v>23</v>
      </c>
      <c r="B14" s="21">
        <v>38</v>
      </c>
      <c r="C14" s="21"/>
      <c r="D14" s="21" t="s">
        <v>20</v>
      </c>
      <c r="E14" s="21">
        <v>129</v>
      </c>
      <c r="F14" s="21">
        <f t="shared" si="0"/>
        <v>258</v>
      </c>
      <c r="G14" s="21">
        <f t="shared" si="1"/>
        <v>387</v>
      </c>
      <c r="H14" s="11"/>
      <c r="I14" s="11"/>
      <c r="J14" s="11"/>
      <c r="K14" s="15"/>
      <c r="L14" s="8"/>
      <c r="M14" s="10"/>
      <c r="N14" s="11"/>
      <c r="O14" s="11"/>
      <c r="P14" s="21"/>
      <c r="Q14" s="21"/>
      <c r="R14" s="21"/>
      <c r="S14" s="21"/>
      <c r="T14" s="11"/>
      <c r="U14" s="21" t="s">
        <v>24</v>
      </c>
      <c r="V14" s="21">
        <v>31</v>
      </c>
      <c r="W14" s="22">
        <v>56</v>
      </c>
      <c r="X14" s="9"/>
      <c r="Y14" s="9"/>
      <c r="Z14" s="9"/>
    </row>
    <row r="15" ht="24" customHeight="1" spans="1:26">
      <c r="A15" s="10" t="s">
        <v>25</v>
      </c>
      <c r="B15" s="21">
        <v>20</v>
      </c>
      <c r="C15" s="21"/>
      <c r="D15" s="11"/>
      <c r="E15" s="11"/>
      <c r="F15" s="11"/>
      <c r="G15" s="11"/>
      <c r="H15" s="11"/>
      <c r="I15" s="11" t="s">
        <v>26</v>
      </c>
      <c r="J15" s="11"/>
      <c r="K15" s="22" t="s">
        <v>27</v>
      </c>
      <c r="L15" s="8"/>
      <c r="M15" s="20" t="s">
        <v>28</v>
      </c>
      <c r="N15" s="21">
        <v>32</v>
      </c>
      <c r="O15" s="21"/>
      <c r="P15" s="21" t="s">
        <v>29</v>
      </c>
      <c r="Q15" s="21">
        <v>26</v>
      </c>
      <c r="R15" s="21"/>
      <c r="S15" s="21"/>
      <c r="T15" s="11"/>
      <c r="U15" s="21" t="s">
        <v>30</v>
      </c>
      <c r="V15" s="21">
        <v>35</v>
      </c>
      <c r="W15" s="22">
        <v>64</v>
      </c>
      <c r="X15" s="9"/>
      <c r="Y15" s="9"/>
      <c r="Z15" s="9"/>
    </row>
    <row r="16" ht="24" customHeight="1" spans="1:26">
      <c r="A16" s="10"/>
      <c r="B16" s="11"/>
      <c r="C16" s="21"/>
      <c r="D16" s="11"/>
      <c r="E16" s="21" t="s">
        <v>21</v>
      </c>
      <c r="F16" s="21" t="s">
        <v>22</v>
      </c>
      <c r="G16" s="11"/>
      <c r="H16" s="11"/>
      <c r="I16" s="11" t="s">
        <v>31</v>
      </c>
      <c r="J16" s="21"/>
      <c r="K16" s="22" t="s">
        <v>32</v>
      </c>
      <c r="L16" s="8"/>
      <c r="M16" s="10"/>
      <c r="N16" s="11"/>
      <c r="O16" s="11"/>
      <c r="P16" s="21"/>
      <c r="Q16" s="21"/>
      <c r="R16" s="21"/>
      <c r="S16" s="21"/>
      <c r="T16" s="11"/>
      <c r="U16" s="11"/>
      <c r="V16" s="11"/>
      <c r="W16" s="15"/>
      <c r="X16" s="9"/>
      <c r="Y16" s="9"/>
      <c r="Z16" s="9"/>
    </row>
    <row r="17" ht="24" customHeight="1" spans="1:26">
      <c r="A17" s="10"/>
      <c r="B17" s="21"/>
      <c r="C17" s="21"/>
      <c r="D17" s="21" t="s">
        <v>24</v>
      </c>
      <c r="E17" s="21">
        <v>31</v>
      </c>
      <c r="F17" s="21">
        <v>56</v>
      </c>
      <c r="G17" s="11"/>
      <c r="H17" s="11"/>
      <c r="I17" s="11" t="s">
        <v>33</v>
      </c>
      <c r="J17" s="11"/>
      <c r="K17" s="22" t="s">
        <v>34</v>
      </c>
      <c r="L17" s="8"/>
      <c r="M17" s="20" t="s">
        <v>35</v>
      </c>
      <c r="N17" s="27"/>
      <c r="O17" s="11"/>
      <c r="P17" s="21"/>
      <c r="Q17" s="21" t="s">
        <v>36</v>
      </c>
      <c r="R17" s="21" t="s">
        <v>37</v>
      </c>
      <c r="S17" s="11"/>
      <c r="T17" s="21"/>
      <c r="U17" s="11"/>
      <c r="V17" s="21" t="s">
        <v>38</v>
      </c>
      <c r="W17" s="22" t="s">
        <v>39</v>
      </c>
      <c r="X17" s="9"/>
      <c r="Y17" s="9"/>
      <c r="Z17" s="9"/>
    </row>
    <row r="18" ht="24" customHeight="1" spans="1:26">
      <c r="A18" s="10"/>
      <c r="B18" s="11"/>
      <c r="C18" s="21"/>
      <c r="D18" s="21" t="s">
        <v>30</v>
      </c>
      <c r="E18" s="21">
        <v>35</v>
      </c>
      <c r="F18" s="21">
        <v>64</v>
      </c>
      <c r="G18" s="11"/>
      <c r="H18" s="11"/>
      <c r="I18" s="11"/>
      <c r="J18" s="11"/>
      <c r="K18" s="15"/>
      <c r="L18" s="8"/>
      <c r="M18" s="20">
        <v>8</v>
      </c>
      <c r="N18" s="21">
        <v>434</v>
      </c>
      <c r="O18" s="11"/>
      <c r="P18" s="21">
        <v>34</v>
      </c>
      <c r="Q18" s="21">
        <v>118</v>
      </c>
      <c r="R18" s="21">
        <v>139</v>
      </c>
      <c r="S18" s="11"/>
      <c r="T18" s="11"/>
      <c r="U18" s="21">
        <v>34</v>
      </c>
      <c r="V18" s="21">
        <f t="shared" ref="V18:V22" si="6">W18*2</f>
        <v>188</v>
      </c>
      <c r="W18" s="22">
        <v>94</v>
      </c>
      <c r="X18" s="9"/>
      <c r="Y18" s="9"/>
      <c r="Z18" s="9"/>
    </row>
    <row r="19" ht="24" customHeight="1" spans="1:26">
      <c r="A19" s="10"/>
      <c r="B19" s="11"/>
      <c r="C19" s="21"/>
      <c r="D19" s="11"/>
      <c r="E19" s="11"/>
      <c r="F19" s="11"/>
      <c r="G19" s="11"/>
      <c r="H19" s="11"/>
      <c r="I19" s="11"/>
      <c r="J19" s="11"/>
      <c r="K19" s="15"/>
      <c r="L19" s="8"/>
      <c r="M19" s="20">
        <v>10</v>
      </c>
      <c r="N19" s="21">
        <v>449</v>
      </c>
      <c r="O19" s="11"/>
      <c r="P19" s="21">
        <v>36</v>
      </c>
      <c r="Q19" s="21">
        <v>128</v>
      </c>
      <c r="R19" s="21">
        <v>149</v>
      </c>
      <c r="S19" s="11"/>
      <c r="T19" s="11"/>
      <c r="U19" s="21">
        <v>36</v>
      </c>
      <c r="V19" s="21">
        <f t="shared" si="6"/>
        <v>198</v>
      </c>
      <c r="W19" s="22">
        <v>99</v>
      </c>
      <c r="X19" s="9"/>
      <c r="Y19" s="9"/>
      <c r="Z19" s="9"/>
    </row>
    <row r="20" ht="24" customHeight="1" spans="1:26">
      <c r="A20" s="20" t="s">
        <v>35</v>
      </c>
      <c r="B20" s="27"/>
      <c r="C20" s="11"/>
      <c r="D20" s="21"/>
      <c r="E20" s="21" t="s">
        <v>36</v>
      </c>
      <c r="F20" s="21" t="s">
        <v>37</v>
      </c>
      <c r="G20" s="11"/>
      <c r="H20" s="21"/>
      <c r="I20" s="11"/>
      <c r="J20" s="21" t="s">
        <v>38</v>
      </c>
      <c r="K20" s="22" t="s">
        <v>39</v>
      </c>
      <c r="L20" s="8"/>
      <c r="M20" s="20">
        <v>12</v>
      </c>
      <c r="N20" s="21">
        <v>464</v>
      </c>
      <c r="O20" s="11"/>
      <c r="P20" s="21">
        <v>38</v>
      </c>
      <c r="Q20" s="21">
        <v>138</v>
      </c>
      <c r="R20" s="21">
        <v>159</v>
      </c>
      <c r="S20" s="11"/>
      <c r="T20" s="11"/>
      <c r="U20" s="21">
        <v>38</v>
      </c>
      <c r="V20" s="21">
        <f t="shared" si="6"/>
        <v>208</v>
      </c>
      <c r="W20" s="22">
        <v>104</v>
      </c>
      <c r="X20" s="9"/>
      <c r="Y20" s="9"/>
      <c r="Z20" s="9"/>
    </row>
    <row r="21" ht="24" customHeight="1" spans="1:26">
      <c r="A21" s="20">
        <v>8</v>
      </c>
      <c r="B21" s="21">
        <v>434</v>
      </c>
      <c r="C21" s="11"/>
      <c r="D21" s="21">
        <v>34</v>
      </c>
      <c r="E21" s="21">
        <v>118</v>
      </c>
      <c r="F21" s="21">
        <v>139</v>
      </c>
      <c r="G21" s="11"/>
      <c r="H21" s="11"/>
      <c r="I21" s="21">
        <v>34</v>
      </c>
      <c r="J21" s="21">
        <f t="shared" ref="J21:J25" si="7">K21*2</f>
        <v>188</v>
      </c>
      <c r="K21" s="22">
        <v>94</v>
      </c>
      <c r="L21" s="8"/>
      <c r="M21" s="20">
        <v>14</v>
      </c>
      <c r="N21" s="21">
        <v>489</v>
      </c>
      <c r="O21" s="11"/>
      <c r="P21" s="21">
        <v>40</v>
      </c>
      <c r="Q21" s="21">
        <v>148</v>
      </c>
      <c r="R21" s="21">
        <v>169</v>
      </c>
      <c r="S21" s="11"/>
      <c r="T21" s="11"/>
      <c r="U21" s="21">
        <v>40</v>
      </c>
      <c r="V21" s="21">
        <f t="shared" si="6"/>
        <v>228</v>
      </c>
      <c r="W21" s="22">
        <v>114</v>
      </c>
      <c r="X21" s="9"/>
      <c r="Y21" s="9"/>
      <c r="Z21" s="9"/>
    </row>
    <row r="22" ht="24" customHeight="1" spans="1:26">
      <c r="A22" s="20">
        <v>10</v>
      </c>
      <c r="B22" s="21">
        <v>449</v>
      </c>
      <c r="C22" s="11"/>
      <c r="D22" s="21">
        <v>36</v>
      </c>
      <c r="E22" s="21">
        <v>128</v>
      </c>
      <c r="F22" s="21">
        <v>149</v>
      </c>
      <c r="G22" s="11"/>
      <c r="H22" s="11"/>
      <c r="I22" s="21">
        <v>36</v>
      </c>
      <c r="J22" s="21">
        <f t="shared" si="7"/>
        <v>198</v>
      </c>
      <c r="K22" s="22">
        <v>99</v>
      </c>
      <c r="L22" s="8"/>
      <c r="M22" s="20">
        <v>16</v>
      </c>
      <c r="N22" s="21">
        <v>514</v>
      </c>
      <c r="O22" s="11"/>
      <c r="P22" s="21">
        <v>42</v>
      </c>
      <c r="Q22" s="21">
        <v>158</v>
      </c>
      <c r="R22" s="21">
        <v>179</v>
      </c>
      <c r="S22" s="11"/>
      <c r="T22" s="11"/>
      <c r="U22" s="21" t="s">
        <v>20</v>
      </c>
      <c r="V22" s="21">
        <f t="shared" si="6"/>
        <v>256</v>
      </c>
      <c r="W22" s="22">
        <v>128</v>
      </c>
      <c r="X22" s="9"/>
      <c r="Y22" s="9"/>
      <c r="Z22" s="9"/>
    </row>
    <row r="23" ht="24" customHeight="1" spans="1:26">
      <c r="A23" s="20">
        <v>12</v>
      </c>
      <c r="B23" s="21">
        <v>464</v>
      </c>
      <c r="C23" s="11"/>
      <c r="D23" s="21">
        <v>38</v>
      </c>
      <c r="E23" s="21">
        <v>138</v>
      </c>
      <c r="F23" s="21">
        <v>159</v>
      </c>
      <c r="G23" s="11"/>
      <c r="H23" s="11"/>
      <c r="I23" s="21">
        <v>38</v>
      </c>
      <c r="J23" s="21">
        <f t="shared" si="7"/>
        <v>208</v>
      </c>
      <c r="K23" s="22">
        <v>104</v>
      </c>
      <c r="L23" s="8"/>
      <c r="M23" s="20">
        <v>18</v>
      </c>
      <c r="N23" s="21">
        <v>539</v>
      </c>
      <c r="O23" s="11"/>
      <c r="P23" s="21">
        <v>44</v>
      </c>
      <c r="Q23" s="21">
        <v>168</v>
      </c>
      <c r="R23" s="21">
        <v>189</v>
      </c>
      <c r="S23" s="11"/>
      <c r="T23" s="11"/>
      <c r="U23" s="11"/>
      <c r="V23" s="11"/>
      <c r="W23" s="15"/>
      <c r="X23" s="9"/>
      <c r="Y23" s="9"/>
      <c r="Z23" s="9"/>
    </row>
    <row r="24" ht="24" customHeight="1" spans="1:26">
      <c r="A24" s="20">
        <v>14</v>
      </c>
      <c r="B24" s="21">
        <v>489</v>
      </c>
      <c r="C24" s="11"/>
      <c r="D24" s="21">
        <v>40</v>
      </c>
      <c r="E24" s="21">
        <v>148</v>
      </c>
      <c r="F24" s="21">
        <v>169</v>
      </c>
      <c r="G24" s="11"/>
      <c r="H24" s="11"/>
      <c r="I24" s="21">
        <v>40</v>
      </c>
      <c r="J24" s="21">
        <f t="shared" si="7"/>
        <v>228</v>
      </c>
      <c r="K24" s="22">
        <v>114</v>
      </c>
      <c r="L24" s="8"/>
      <c r="M24" s="20">
        <v>20</v>
      </c>
      <c r="N24" s="21">
        <v>564</v>
      </c>
      <c r="O24" s="11"/>
      <c r="P24" s="21" t="s">
        <v>20</v>
      </c>
      <c r="Q24" s="21">
        <v>188</v>
      </c>
      <c r="R24" s="21">
        <v>209</v>
      </c>
      <c r="S24" s="11"/>
      <c r="T24" s="11"/>
      <c r="U24" s="11"/>
      <c r="V24" s="11"/>
      <c r="W24" s="15"/>
      <c r="X24" s="9"/>
      <c r="Y24" s="9"/>
      <c r="Z24" s="9"/>
    </row>
    <row r="25" ht="24" customHeight="1" spans="1:26">
      <c r="A25" s="20">
        <v>16</v>
      </c>
      <c r="B25" s="21">
        <v>514</v>
      </c>
      <c r="C25" s="11"/>
      <c r="D25" s="21">
        <v>42</v>
      </c>
      <c r="E25" s="21">
        <v>158</v>
      </c>
      <c r="F25" s="21">
        <v>179</v>
      </c>
      <c r="G25" s="11"/>
      <c r="H25" s="11"/>
      <c r="I25" s="21" t="s">
        <v>20</v>
      </c>
      <c r="J25" s="21">
        <f t="shared" si="7"/>
        <v>256</v>
      </c>
      <c r="K25" s="22">
        <v>128</v>
      </c>
      <c r="L25" s="8"/>
      <c r="M25" s="20">
        <v>22</v>
      </c>
      <c r="N25" s="21">
        <v>589</v>
      </c>
      <c r="O25" s="11"/>
      <c r="P25" s="11"/>
      <c r="Q25" s="21"/>
      <c r="R25" s="28"/>
      <c r="S25" s="21"/>
      <c r="T25" s="21"/>
      <c r="U25" s="21"/>
      <c r="V25" s="29" t="s">
        <v>40</v>
      </c>
      <c r="W25" s="22" t="s">
        <v>11</v>
      </c>
      <c r="X25" s="9"/>
      <c r="Y25" s="9"/>
      <c r="Z25" s="9"/>
    </row>
    <row r="26" ht="24" customHeight="1" spans="1:26">
      <c r="A26" s="20">
        <v>18</v>
      </c>
      <c r="B26" s="21">
        <v>539</v>
      </c>
      <c r="C26" s="11"/>
      <c r="D26" s="21">
        <v>44</v>
      </c>
      <c r="E26" s="21">
        <v>168</v>
      </c>
      <c r="F26" s="21">
        <v>189</v>
      </c>
      <c r="G26" s="11"/>
      <c r="H26" s="11"/>
      <c r="I26" s="11"/>
      <c r="J26" s="11"/>
      <c r="K26" s="15"/>
      <c r="L26" s="8"/>
      <c r="M26" s="20" t="s">
        <v>20</v>
      </c>
      <c r="N26" s="21">
        <v>639</v>
      </c>
      <c r="O26" s="11"/>
      <c r="P26" s="11"/>
      <c r="Q26" s="21" t="s">
        <v>41</v>
      </c>
      <c r="R26" s="21" t="s">
        <v>42</v>
      </c>
      <c r="S26" s="21" t="s">
        <v>7</v>
      </c>
      <c r="T26" s="21"/>
      <c r="U26" s="21" t="s">
        <v>43</v>
      </c>
      <c r="V26" s="30">
        <v>44</v>
      </c>
      <c r="W26" s="22">
        <f t="shared" ref="W26:W32" si="8">V26*2</f>
        <v>88</v>
      </c>
      <c r="X26" s="9"/>
      <c r="Y26" s="9"/>
      <c r="Z26" s="9"/>
    </row>
    <row r="27" ht="24" customHeight="1" spans="1:26">
      <c r="A27" s="20">
        <v>20</v>
      </c>
      <c r="B27" s="21">
        <v>564</v>
      </c>
      <c r="C27" s="11"/>
      <c r="D27" s="21" t="s">
        <v>20</v>
      </c>
      <c r="E27" s="21">
        <v>188</v>
      </c>
      <c r="F27" s="21">
        <v>209</v>
      </c>
      <c r="G27" s="11"/>
      <c r="H27" s="11"/>
      <c r="I27" s="11"/>
      <c r="J27" s="11"/>
      <c r="K27" s="15"/>
      <c r="L27" s="8"/>
      <c r="M27" s="10"/>
      <c r="N27" s="11"/>
      <c r="O27" s="11"/>
      <c r="P27" s="11"/>
      <c r="Q27" s="21">
        <v>32</v>
      </c>
      <c r="R27" s="30">
        <v>59</v>
      </c>
      <c r="S27" s="21">
        <f t="shared" ref="S27:S32" si="9">R27*2</f>
        <v>118</v>
      </c>
      <c r="T27" s="21"/>
      <c r="U27" s="21" t="s">
        <v>44</v>
      </c>
      <c r="V27" s="30">
        <v>48</v>
      </c>
      <c r="W27" s="22">
        <f t="shared" si="8"/>
        <v>96</v>
      </c>
      <c r="X27" s="9"/>
      <c r="Y27" s="9"/>
      <c r="Z27" s="9"/>
    </row>
    <row r="28" ht="24" customHeight="1" spans="1:26">
      <c r="A28" s="20">
        <v>22</v>
      </c>
      <c r="B28" s="21">
        <v>589</v>
      </c>
      <c r="C28" s="11"/>
      <c r="D28" s="11"/>
      <c r="E28" s="21"/>
      <c r="F28" s="28"/>
      <c r="G28" s="21"/>
      <c r="H28" s="21"/>
      <c r="I28" s="21"/>
      <c r="J28" s="29" t="s">
        <v>40</v>
      </c>
      <c r="K28" s="22" t="s">
        <v>11</v>
      </c>
      <c r="L28" s="8"/>
      <c r="M28" s="10"/>
      <c r="N28" s="21"/>
      <c r="O28" s="11"/>
      <c r="P28" s="11"/>
      <c r="Q28" s="21">
        <v>34</v>
      </c>
      <c r="R28" s="30">
        <v>63</v>
      </c>
      <c r="S28" s="21">
        <f t="shared" si="9"/>
        <v>126</v>
      </c>
      <c r="T28" s="21"/>
      <c r="U28" s="21" t="s">
        <v>45</v>
      </c>
      <c r="V28" s="21">
        <v>52</v>
      </c>
      <c r="W28" s="22">
        <f t="shared" si="8"/>
        <v>104</v>
      </c>
      <c r="X28" s="9"/>
      <c r="Y28" s="9"/>
      <c r="Z28" s="9"/>
    </row>
    <row r="29" ht="24" customHeight="1" spans="1:26">
      <c r="A29" s="20" t="s">
        <v>20</v>
      </c>
      <c r="B29" s="21">
        <v>639</v>
      </c>
      <c r="C29" s="11"/>
      <c r="D29" s="11"/>
      <c r="E29" s="21" t="s">
        <v>41</v>
      </c>
      <c r="F29" s="21" t="s">
        <v>42</v>
      </c>
      <c r="G29" s="21" t="s">
        <v>7</v>
      </c>
      <c r="H29" s="21"/>
      <c r="I29" s="21" t="s">
        <v>43</v>
      </c>
      <c r="J29" s="30">
        <v>44</v>
      </c>
      <c r="K29" s="22">
        <f t="shared" ref="K29:K35" si="10">J29*2</f>
        <v>88</v>
      </c>
      <c r="L29" s="8"/>
      <c r="M29" s="10"/>
      <c r="N29" s="21"/>
      <c r="O29" s="11"/>
      <c r="P29" s="11"/>
      <c r="Q29" s="21">
        <v>36</v>
      </c>
      <c r="R29" s="21">
        <v>67</v>
      </c>
      <c r="S29" s="21">
        <f t="shared" si="9"/>
        <v>134</v>
      </c>
      <c r="T29" s="21"/>
      <c r="U29" s="21" t="s">
        <v>46</v>
      </c>
      <c r="V29" s="30">
        <v>56</v>
      </c>
      <c r="W29" s="22">
        <f t="shared" si="8"/>
        <v>112</v>
      </c>
      <c r="X29" s="9"/>
      <c r="Y29" s="9"/>
      <c r="Z29" s="9"/>
    </row>
    <row r="30" ht="24" customHeight="1" spans="1:26">
      <c r="A30" s="10"/>
      <c r="B30" s="11"/>
      <c r="C30" s="11"/>
      <c r="D30" s="11"/>
      <c r="E30" s="21">
        <v>32</v>
      </c>
      <c r="F30" s="30">
        <v>59</v>
      </c>
      <c r="G30" s="21">
        <f t="shared" ref="G30:G35" si="11">F30*2</f>
        <v>118</v>
      </c>
      <c r="H30" s="21"/>
      <c r="I30" s="21" t="s">
        <v>44</v>
      </c>
      <c r="J30" s="30">
        <v>48</v>
      </c>
      <c r="K30" s="22">
        <f t="shared" si="10"/>
        <v>96</v>
      </c>
      <c r="L30" s="8"/>
      <c r="M30" s="10"/>
      <c r="N30" s="21"/>
      <c r="O30" s="11"/>
      <c r="P30" s="11"/>
      <c r="Q30" s="21">
        <v>38</v>
      </c>
      <c r="R30" s="21">
        <v>70</v>
      </c>
      <c r="S30" s="21">
        <f t="shared" si="9"/>
        <v>140</v>
      </c>
      <c r="T30" s="21"/>
      <c r="U30" s="21" t="s">
        <v>47</v>
      </c>
      <c r="V30" s="30">
        <v>60</v>
      </c>
      <c r="W30" s="22">
        <f t="shared" si="8"/>
        <v>120</v>
      </c>
      <c r="X30" s="9"/>
      <c r="Y30" s="9"/>
      <c r="Z30" s="9"/>
    </row>
    <row r="31" ht="24" customHeight="1" spans="1:26">
      <c r="A31" s="10"/>
      <c r="B31" s="21"/>
      <c r="C31" s="11"/>
      <c r="D31" s="11"/>
      <c r="E31" s="21">
        <v>34</v>
      </c>
      <c r="F31" s="30">
        <v>63</v>
      </c>
      <c r="G31" s="21">
        <f t="shared" si="11"/>
        <v>126</v>
      </c>
      <c r="H31" s="21"/>
      <c r="I31" s="21" t="s">
        <v>45</v>
      </c>
      <c r="J31" s="21">
        <v>52</v>
      </c>
      <c r="K31" s="22">
        <f t="shared" si="10"/>
        <v>104</v>
      </c>
      <c r="L31" s="8"/>
      <c r="M31" s="10"/>
      <c r="N31" s="21"/>
      <c r="O31" s="11"/>
      <c r="P31" s="11"/>
      <c r="Q31" s="21">
        <v>40</v>
      </c>
      <c r="R31" s="30">
        <v>74</v>
      </c>
      <c r="S31" s="21">
        <f t="shared" si="9"/>
        <v>148</v>
      </c>
      <c r="T31" s="21"/>
      <c r="U31" s="21" t="s">
        <v>48</v>
      </c>
      <c r="V31" s="30">
        <v>68</v>
      </c>
      <c r="W31" s="22">
        <f t="shared" si="8"/>
        <v>136</v>
      </c>
      <c r="X31" s="9"/>
      <c r="Y31" s="9"/>
      <c r="Z31" s="9"/>
    </row>
    <row r="32" ht="24" customHeight="1" spans="1:26">
      <c r="A32" s="10"/>
      <c r="B32" s="21"/>
      <c r="C32" s="11"/>
      <c r="D32" s="11"/>
      <c r="E32" s="21">
        <v>36</v>
      </c>
      <c r="F32" s="21">
        <v>67</v>
      </c>
      <c r="G32" s="21">
        <f t="shared" si="11"/>
        <v>134</v>
      </c>
      <c r="H32" s="21"/>
      <c r="I32" s="21" t="s">
        <v>46</v>
      </c>
      <c r="J32" s="30">
        <v>56</v>
      </c>
      <c r="K32" s="22">
        <f t="shared" si="10"/>
        <v>112</v>
      </c>
      <c r="L32" s="8"/>
      <c r="M32" s="31"/>
      <c r="N32" s="32"/>
      <c r="O32" s="32"/>
      <c r="P32" s="32"/>
      <c r="Q32" s="33" t="s">
        <v>20</v>
      </c>
      <c r="R32" s="34">
        <v>97</v>
      </c>
      <c r="S32" s="33">
        <f t="shared" si="9"/>
        <v>194</v>
      </c>
      <c r="T32" s="33"/>
      <c r="U32" s="33" t="s">
        <v>20</v>
      </c>
      <c r="V32" s="34">
        <v>88</v>
      </c>
      <c r="W32" s="35">
        <f t="shared" si="8"/>
        <v>176</v>
      </c>
      <c r="X32" s="9"/>
      <c r="Y32" s="9"/>
      <c r="Z32" s="9"/>
    </row>
    <row r="33" ht="24" customHeight="1" spans="1:26">
      <c r="A33" s="10"/>
      <c r="B33" s="21"/>
      <c r="C33" s="11"/>
      <c r="D33" s="11"/>
      <c r="E33" s="21">
        <v>38</v>
      </c>
      <c r="F33" s="21">
        <v>70</v>
      </c>
      <c r="G33" s="21">
        <f t="shared" si="11"/>
        <v>140</v>
      </c>
      <c r="H33" s="21"/>
      <c r="I33" s="21" t="s">
        <v>47</v>
      </c>
      <c r="J33" s="30">
        <v>60</v>
      </c>
      <c r="K33" s="22">
        <f t="shared" si="10"/>
        <v>120</v>
      </c>
      <c r="L33" s="8"/>
      <c r="M33" s="8"/>
      <c r="N33" s="8"/>
      <c r="O33" s="36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24" customHeight="1" spans="1:26">
      <c r="A34" s="10"/>
      <c r="B34" s="21"/>
      <c r="C34" s="11"/>
      <c r="D34" s="11"/>
      <c r="E34" s="21">
        <v>40</v>
      </c>
      <c r="F34" s="30">
        <v>74</v>
      </c>
      <c r="G34" s="21">
        <f t="shared" si="11"/>
        <v>148</v>
      </c>
      <c r="H34" s="21"/>
      <c r="I34" s="21" t="s">
        <v>48</v>
      </c>
      <c r="J34" s="30">
        <v>68</v>
      </c>
      <c r="K34" s="22">
        <f t="shared" si="10"/>
        <v>136</v>
      </c>
      <c r="L34" s="8"/>
      <c r="M34" s="8"/>
      <c r="N34" s="8"/>
      <c r="O34" s="36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24" customHeight="1" spans="1:26">
      <c r="A35" s="31"/>
      <c r="B35" s="32"/>
      <c r="C35" s="32"/>
      <c r="D35" s="32"/>
      <c r="E35" s="33" t="s">
        <v>20</v>
      </c>
      <c r="F35" s="34">
        <v>97</v>
      </c>
      <c r="G35" s="33">
        <f t="shared" si="11"/>
        <v>194</v>
      </c>
      <c r="H35" s="33"/>
      <c r="I35" s="33" t="s">
        <v>20</v>
      </c>
      <c r="J35" s="34">
        <v>88</v>
      </c>
      <c r="K35" s="35">
        <f t="shared" si="10"/>
        <v>176</v>
      </c>
      <c r="L35" s="8"/>
      <c r="M35" s="8"/>
      <c r="N35" s="8"/>
      <c r="O35" s="36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24" customHeight="1" spans="1:26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8"/>
      <c r="M36" s="8"/>
      <c r="N36" s="8"/>
      <c r="O36" s="36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24" customHeight="1" spans="1:26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8"/>
      <c r="M37" s="8"/>
      <c r="N37" s="8"/>
      <c r="O37" s="36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24" customHeight="1" spans="1:26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8"/>
      <c r="M38" s="9"/>
      <c r="N38" s="8"/>
      <c r="O38" s="36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24" customHeight="1" spans="1:26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8"/>
      <c r="M39" s="9"/>
      <c r="N39" s="8"/>
      <c r="O39" s="36"/>
      <c r="P39" s="9"/>
      <c r="Q39" s="9"/>
      <c r="R39" s="8"/>
      <c r="S39" s="8"/>
      <c r="T39" s="9"/>
      <c r="U39" s="9"/>
      <c r="V39" s="9"/>
      <c r="W39" s="9"/>
      <c r="X39" s="9"/>
      <c r="Y39" s="9"/>
      <c r="Z39" s="9"/>
    </row>
    <row r="40" ht="24" customHeight="1" spans="1:26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8"/>
      <c r="M40" s="38"/>
      <c r="N40" s="9"/>
      <c r="O40" s="8"/>
      <c r="P40" s="8"/>
      <c r="Q40" s="9"/>
      <c r="R40" s="8"/>
      <c r="S40" s="8"/>
      <c r="T40" s="9"/>
      <c r="U40" s="9"/>
      <c r="V40" s="9"/>
      <c r="W40" s="9"/>
      <c r="X40" s="9"/>
      <c r="Y40" s="9"/>
      <c r="Z40" s="9"/>
    </row>
    <row r="41" ht="24" customHeight="1" spans="1:26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8"/>
      <c r="M41" s="38"/>
      <c r="N41" s="9"/>
      <c r="O41" s="8"/>
      <c r="P41" s="8"/>
      <c r="Q41" s="9"/>
      <c r="R41" s="8"/>
      <c r="S41" s="8"/>
      <c r="T41" s="9"/>
      <c r="U41" s="9"/>
      <c r="V41" s="9"/>
      <c r="W41" s="9"/>
      <c r="X41" s="9"/>
      <c r="Y41" s="9"/>
      <c r="Z41" s="9"/>
    </row>
    <row r="42" ht="24" customHeight="1" spans="1:26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8"/>
      <c r="M42" s="38"/>
      <c r="N42" s="9"/>
      <c r="O42" s="8"/>
      <c r="P42" s="8"/>
      <c r="Q42" s="9"/>
      <c r="R42" s="8"/>
      <c r="S42" s="8"/>
      <c r="T42" s="9"/>
      <c r="U42" s="9"/>
      <c r="V42" s="9"/>
      <c r="W42" s="9"/>
      <c r="X42" s="9"/>
      <c r="Y42" s="9"/>
      <c r="Z42" s="9"/>
    </row>
    <row r="43" ht="24" customHeight="1" spans="1:26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8"/>
      <c r="M43" s="38"/>
      <c r="N43" s="9"/>
      <c r="O43" s="8"/>
      <c r="P43" s="8"/>
      <c r="Q43" s="9"/>
      <c r="R43" s="8"/>
      <c r="S43" s="8"/>
      <c r="T43" s="9"/>
      <c r="U43" s="9"/>
      <c r="V43" s="9"/>
      <c r="W43" s="9"/>
      <c r="X43" s="9"/>
      <c r="Y43" s="9"/>
      <c r="Z43" s="9"/>
    </row>
    <row r="44" ht="24" customHeight="1" spans="1:26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8"/>
      <c r="M44" s="38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24" customHeight="1" spans="1:26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8"/>
      <c r="M45" s="38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24" customHeight="1" spans="1:26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8"/>
      <c r="M46" s="38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24" customHeight="1" spans="1:26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8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24" customHeight="1" spans="1:26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8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24" customHeight="1" spans="1:26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8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24" customHeight="1" spans="1:26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8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20.25" customHeight="1" spans="1:26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8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20.25" customHeight="1" spans="1:26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8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20.25" customHeight="1" spans="1:26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8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20.25" customHeight="1" spans="1:26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8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20.25" customHeight="1" spans="1:26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8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20.25" customHeight="1" spans="1:2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8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20.25" customHeight="1" spans="1:26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8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20.25" customHeight="1" spans="1:26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8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20.25" customHeight="1" spans="1:26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8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20.25" customHeight="1" spans="1:26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8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20.25" customHeight="1" spans="1:26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8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20.25" customHeight="1" spans="1:26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8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20.25" customHeight="1" spans="1:26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8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20.25" customHeight="1" spans="1:26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8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20.25" customHeight="1" spans="1:26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8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20.25" customHeight="1" spans="1:2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20.25" customHeight="1" spans="1:26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8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20.25" customHeight="1" spans="1:26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8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20.25" customHeight="1" spans="1:26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8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20.25" customHeight="1" spans="1:26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8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20.25" customHeight="1" spans="1:26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8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20.25" customHeight="1" spans="1:26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8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20.25" customHeight="1" spans="1:26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8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20.25" customHeight="1" spans="1:26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8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20.25" customHeight="1" spans="1:26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8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20.25" customHeight="1" spans="1:2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8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20.25" customHeight="1" spans="1:26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8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20.25" customHeight="1" spans="1:26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8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20.25" customHeight="1" spans="1:26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8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20.25" customHeight="1" spans="1:26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8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20.25" customHeight="1" spans="1:26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8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20.25" customHeight="1" spans="1:26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8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20.25" customHeight="1" spans="1:26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8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20.25" customHeight="1" spans="1:26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8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20.25" customHeight="1" spans="1:26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8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20.25" customHeight="1" spans="1:2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8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20.25" customHeight="1" spans="1:26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8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20.25" customHeight="1" spans="1:26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8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20.25" customHeight="1" spans="1:26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8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20.25" customHeight="1" spans="1:26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8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20.25" customHeight="1" spans="1:26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8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20.25" customHeight="1" spans="1:26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8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20.25" customHeight="1" spans="1:26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8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20.25" customHeight="1" spans="1:26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8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20.25" customHeight="1" spans="1:26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8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20.25" customHeight="1" spans="1:2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8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20.25" customHeight="1" spans="1:26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8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20.25" customHeight="1" spans="1:26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8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20.25" customHeight="1" spans="1:26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8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20.25" customHeight="1" spans="1:26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20.25" customHeight="1" spans="1:26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20.25" customHeight="1" spans="1:26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20.25" customHeight="1" spans="1:26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20.25" customHeight="1" spans="1:26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20.25" customHeight="1" spans="1:26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20.25" customHeight="1" spans="1:2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20.25" customHeight="1" spans="1:26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20.25" customHeight="1" spans="1:26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20.25" customHeight="1" spans="1:26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20.25" customHeight="1" spans="1:26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20.25" customHeight="1" spans="1:26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20.25" customHeight="1" spans="1:26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20.25" customHeight="1" spans="1:26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20.25" customHeight="1" spans="1:26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20.25" customHeight="1" spans="1:26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20.25" customHeight="1" spans="1:2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20.25" customHeight="1" spans="1:26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20.25" customHeight="1" spans="1:26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20.25" customHeight="1" spans="1:26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20.25" customHeight="1" spans="1:26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20.25" customHeight="1" spans="1:26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20.25" customHeight="1" spans="1:26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20.25" customHeight="1" spans="1:26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20.25" customHeight="1" spans="1:26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20.25" customHeight="1" spans="1:26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20.25" customHeight="1" spans="1: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20.25" customHeight="1" spans="1:26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20.25" customHeight="1" spans="1:26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20.25" customHeight="1" spans="1:26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20.25" customHeight="1" spans="1:26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20.25" customHeight="1" spans="1:26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20.25" customHeight="1" spans="1:26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20.25" customHeight="1" spans="1:26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20.25" customHeight="1" spans="1:26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20.25" customHeight="1" spans="1:26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20.25" customHeight="1" spans="1:2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20.25" customHeight="1" spans="1:26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20.25" customHeight="1" spans="1:26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20.25" customHeight="1" spans="1:26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20.25" customHeight="1" spans="1:26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20.25" customHeight="1" spans="1:26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20.25" customHeight="1" spans="1:26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20.25" customHeight="1" spans="1:26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20.25" customHeight="1" spans="1:26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20.25" customHeight="1" spans="1:26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20.25" customHeight="1" spans="1:2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20.25" customHeight="1" spans="1:26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20.25" customHeight="1" spans="1:26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20.25" customHeight="1" spans="1:26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20.25" customHeight="1" spans="1:26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20.25" customHeight="1" spans="1:26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20.25" customHeight="1" spans="1:26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20.25" customHeight="1" spans="1:26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20.25" customHeight="1" spans="1:26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20.25" customHeight="1" spans="1:26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20.25" customHeight="1" spans="1:2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20.25" customHeight="1" spans="1:26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20.25" customHeight="1" spans="1:26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20.25" customHeight="1" spans="1:26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20.25" customHeight="1" spans="1:26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20.25" customHeight="1" spans="1:26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20.25" customHeight="1" spans="1:26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20.25" customHeight="1" spans="1:26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20.25" customHeight="1" spans="1:26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20.25" customHeight="1" spans="1:26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20.25" customHeight="1" spans="1:2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20.25" customHeight="1" spans="1:26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20.25" customHeight="1" spans="1:26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20.25" customHeight="1" spans="1:26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20.25" customHeight="1" spans="1:26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20.25" customHeight="1" spans="1:26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20.25" customHeight="1" spans="1:26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20.25" customHeight="1" spans="1:26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20.25" customHeight="1" spans="1:26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20.25" customHeight="1" spans="1:26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20.25" customHeight="1" spans="1:2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20.25" customHeight="1" spans="1:26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20.25" customHeight="1" spans="1:26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20.25" customHeight="1" spans="1:26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20.25" customHeight="1" spans="1:26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20.25" customHeight="1" spans="1:26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20.25" customHeight="1" spans="1:26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20.25" customHeight="1" spans="1:26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20.25" customHeight="1" spans="1:26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20.25" customHeight="1" spans="1:26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20.25" customHeight="1" spans="1:2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20.25" customHeight="1" spans="1:26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20.25" customHeight="1" spans="1:26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20.25" customHeight="1" spans="1:26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20.25" customHeight="1" spans="1:26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20.25" customHeight="1" spans="1:26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20.25" customHeight="1" spans="1:26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20.25" customHeight="1" spans="1:26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20.25" customHeight="1" spans="1:26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20.25" customHeight="1" spans="1:26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20.25" customHeight="1" spans="1:2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20.25" customHeight="1" spans="1:26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20.25" customHeight="1" spans="1:26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20.25" customHeight="1" spans="1:26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20.25" customHeight="1" spans="1:26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20.25" customHeight="1" spans="1:26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20.25" customHeight="1" spans="1:26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20.25" customHeight="1" spans="1:26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20.25" customHeight="1" spans="1:26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20.25" customHeight="1" spans="1:26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20.25" customHeight="1" spans="1:2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20.25" customHeight="1" spans="1:26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20.25" customHeight="1" spans="1:26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20.25" customHeight="1" spans="1:26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20.25" customHeight="1" spans="1:26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20.25" customHeight="1" spans="1:26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20.25" customHeight="1" spans="1:26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20.25" customHeight="1" spans="1:26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20.25" customHeight="1" spans="1:26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20.25" customHeight="1" spans="1:26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20.25" customHeight="1" spans="1:2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20.25" customHeight="1" spans="1:26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20.25" customHeight="1" spans="1:26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20.25" customHeight="1" spans="1:26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20.25" customHeight="1" spans="1:26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20.25" customHeight="1" spans="1:26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20.25" customHeight="1" spans="1:26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20.25" customHeight="1" spans="1:26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20.25" customHeight="1" spans="1:26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20.25" customHeight="1" spans="1:26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20.25" customHeight="1" spans="1: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20.25" customHeight="1" spans="1:26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20.25" customHeight="1" spans="1:26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20.25" customHeight="1" spans="1:26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20.25" customHeight="1" spans="1:26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20.25" customHeight="1" spans="1:26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20.25" customHeight="1" spans="1:26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20.25" customHeight="1" spans="1:26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20.25" customHeight="1" spans="1:26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20.25" customHeight="1" spans="1:26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20.25" customHeight="1" spans="1:2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20.25" customHeight="1" spans="1:26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20.25" customHeight="1" spans="1:26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20.25" customHeight="1" spans="1:26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20.25" customHeight="1" spans="1:26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20.25" customHeight="1" spans="1:26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20.25" customHeight="1" spans="1:26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20.25" customHeight="1" spans="1:26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20.25" customHeight="1" spans="1:26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20.25" customHeight="1" spans="1:26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20.25" customHeight="1" spans="1:2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 spans="1:26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ht="15.75" customHeight="1" spans="1:26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ht="15.75" customHeight="1" spans="1:26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ht="15.75" customHeight="1" spans="1:26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ht="15.75" customHeight="1" spans="1:26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ht="15.75" customHeight="1" spans="1:26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ht="15.75" customHeight="1" spans="1:26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ht="15.75" customHeight="1" spans="1:26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ht="15.75" customHeight="1" spans="1:26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ht="15.75" customHeight="1" spans="1:26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ht="15.75" customHeight="1" spans="1:26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ht="15.75" customHeight="1" spans="1:26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ht="15.75" customHeight="1" spans="1:26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ht="15.75" customHeight="1" spans="1:26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ht="15.75" customHeight="1" spans="1:26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ht="15.75" customHeight="1" spans="1:26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ht="15.75" customHeight="1" spans="1:26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ht="15.75" customHeight="1" spans="1:26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ht="15.75" customHeight="1" spans="1:26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ht="15.75" customHeight="1" spans="1:26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ht="15.75" customHeight="1" spans="1:26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ht="15.75" customHeight="1" spans="1:26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ht="15.75" customHeight="1" spans="1:26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ht="15.75" customHeight="1" spans="1:26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ht="15.75" customHeight="1" spans="1:26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ht="15.75" customHeight="1" spans="1:26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ht="15.75" customHeight="1" spans="1:26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ht="15.75" customHeight="1" spans="1:26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ht="15.75" customHeight="1" spans="1:26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ht="15.75" customHeight="1" spans="1:26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ht="15.75" customHeight="1" spans="1:26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ht="15.75" customHeight="1" spans="1:26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ht="15.75" customHeight="1" spans="1:26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ht="15.75" customHeight="1" spans="1:26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ht="15.75" customHeight="1" spans="1:26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ht="15.75" customHeight="1" spans="1:26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ht="15.75" customHeight="1" spans="1:26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ht="15.75" customHeight="1" spans="1:26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ht="15.75" customHeight="1" spans="1:26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ht="15.75" customHeight="1" spans="1:26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ht="15.75" customHeight="1" spans="1:26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ht="15.75" customHeight="1" spans="1:26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ht="15.75" customHeight="1" spans="1:26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ht="15.75" customHeight="1" spans="1:26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ht="15.75" customHeight="1" spans="1:26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ht="15.75" customHeight="1" spans="1:26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ht="15.75" customHeight="1" spans="1:26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ht="15.75" customHeight="1" spans="1:26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ht="15.75" customHeight="1" spans="1:26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ht="15.75" customHeight="1" spans="1:26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ht="15.75" customHeight="1" spans="1:26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ht="15.75" customHeight="1" spans="1:26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ht="15.75" customHeight="1" spans="1:26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ht="15.75" customHeight="1" spans="1:26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ht="15.75" customHeight="1" spans="1:26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ht="15.75" customHeight="1" spans="1:26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ht="15.75" customHeight="1" spans="1:26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ht="15.75" customHeight="1" spans="1:26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ht="15.75" customHeight="1" spans="1:26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ht="15.75" customHeight="1" spans="1:26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ht="15.75" customHeight="1" spans="1:26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ht="15.75" customHeight="1" spans="1:26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ht="15.75" customHeight="1" spans="1:26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ht="15.75" customHeight="1" spans="1:26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ht="15.75" customHeight="1" spans="1:26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ht="15.75" customHeight="1" spans="1:26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ht="15.75" customHeight="1" spans="1:26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ht="15.75" customHeight="1" spans="1:26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ht="15.75" customHeight="1" spans="1:26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ht="15.75" customHeight="1" spans="1:26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ht="15.75" customHeight="1" spans="1:26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ht="15.75" customHeight="1" spans="1:26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ht="15.75" customHeight="1" spans="1:26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ht="15.75" customHeight="1" spans="1:26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ht="15.75" customHeight="1" spans="1:26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ht="15.75" customHeight="1" spans="1:26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ht="15.75" customHeight="1" spans="1:26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ht="15.75" customHeight="1" spans="1:26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ht="15.75" customHeight="1" spans="1:26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ht="15.75" customHeight="1" spans="1:26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ht="15.75" customHeight="1" spans="1:26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ht="15.75" customHeight="1" spans="1:26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ht="15.75" customHeight="1" spans="1:26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ht="15.75" customHeight="1" spans="1:26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ht="15.75" customHeight="1" spans="1:26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ht="15.75" customHeight="1" spans="1:26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ht="15.75" customHeight="1" spans="1:26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ht="15.75" customHeight="1" spans="1:26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ht="15.75" customHeight="1" spans="1:26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ht="15.75" customHeight="1" spans="1:26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ht="15.75" customHeight="1" spans="1:26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ht="15.75" customHeight="1" spans="1:26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ht="15.75" customHeight="1" spans="1:26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ht="15.75" customHeight="1" spans="1:26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ht="15.75" customHeight="1" spans="1:26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ht="15.75" customHeight="1" spans="1:26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ht="15.75" customHeight="1" spans="1:26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ht="15.75" customHeight="1" spans="1:26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ht="15.75" customHeight="1" spans="1:26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ht="15.75" customHeight="1" spans="1:26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ht="15.75" customHeight="1" spans="1:26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ht="15.75" customHeight="1" spans="1:26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ht="15.75" customHeight="1" spans="1:26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ht="15.75" customHeight="1" spans="1:26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ht="15.75" customHeight="1" spans="1:26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ht="15.75" customHeight="1" spans="1:26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ht="15.75" customHeight="1" spans="1:26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ht="15.75" customHeight="1" spans="1:26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ht="15.75" customHeight="1" spans="1:26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ht="15.75" customHeight="1" spans="1:26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ht="15.75" customHeight="1" spans="1:26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ht="15.75" customHeight="1" spans="1:26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ht="15.75" customHeight="1" spans="1:26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ht="15.75" customHeight="1" spans="1:26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ht="15.75" customHeight="1" spans="1:26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ht="15.75" customHeight="1" spans="1:26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ht="15.75" customHeight="1" spans="1:26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ht="15.75" customHeight="1" spans="1:26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ht="15.75" customHeight="1" spans="1:26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ht="15.75" customHeight="1" spans="1:26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ht="15.75" customHeight="1" spans="1:26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ht="15.75" customHeight="1" spans="1:26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ht="15.75" customHeight="1" spans="1:26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ht="15.75" customHeight="1" spans="1:26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ht="15.75" customHeight="1" spans="1:26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ht="15.75" customHeight="1" spans="1:26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ht="15.75" customHeight="1" spans="1:26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ht="15.75" customHeight="1" spans="1:26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ht="15.75" customHeight="1" spans="1:26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ht="15.75" customHeight="1" spans="1:26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ht="15.75" customHeight="1" spans="1:26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ht="15.75" customHeight="1" spans="1:26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ht="15.75" customHeight="1" spans="1:26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ht="15.75" customHeight="1" spans="1:26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ht="15.75" customHeight="1" spans="1:26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ht="15.75" customHeight="1" spans="1:26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ht="15.75" customHeight="1" spans="1:26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ht="15.75" customHeight="1" spans="1:26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ht="15.75" customHeight="1" spans="1:26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ht="15.75" customHeight="1" spans="1:26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ht="15.75" customHeight="1" spans="1:26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ht="15.75" customHeight="1" spans="1:26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ht="15.75" customHeight="1" spans="1:26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ht="15.75" customHeight="1" spans="1:26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ht="15.75" customHeight="1" spans="1:26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ht="15.75" customHeight="1" spans="1:26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ht="15.75" customHeight="1" spans="1:26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ht="15.75" customHeight="1" spans="1:26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ht="15.75" customHeight="1" spans="1:26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ht="15.75" customHeight="1" spans="1:26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ht="15.75" customHeight="1" spans="1:26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ht="15.75" customHeight="1" spans="1:26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ht="15.75" customHeight="1" spans="1:26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ht="15.75" customHeight="1" spans="1:26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ht="15.75" customHeight="1" spans="1:26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ht="15.75" customHeight="1" spans="1:26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ht="15.75" customHeight="1" spans="1:26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ht="15.75" customHeight="1" spans="1:26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ht="15.75" customHeight="1" spans="1:26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ht="15.75" customHeight="1" spans="1:26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ht="15.75" customHeight="1" spans="1:26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ht="15.75" customHeight="1" spans="1:26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ht="15.75" customHeight="1" spans="1:26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ht="15.75" customHeight="1" spans="1:26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ht="15.75" customHeight="1" spans="1:26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ht="15.75" customHeight="1" spans="1:26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ht="15.75" customHeight="1" spans="1:26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ht="15.75" customHeight="1" spans="1:26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ht="15.75" customHeight="1" spans="1:26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ht="15.75" customHeight="1" spans="1:26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ht="15.75" customHeight="1" spans="1:26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ht="15.75" customHeight="1" spans="1:26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ht="15.75" customHeight="1" spans="1:26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ht="15.75" customHeight="1" spans="1:26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ht="15.75" customHeight="1" spans="1:26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ht="15.75" customHeight="1" spans="1:26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ht="15.75" customHeight="1" spans="1:26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ht="15.75" customHeight="1" spans="1:26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ht="15.75" customHeight="1" spans="1:26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ht="15.75" customHeight="1" spans="1:26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ht="15.75" customHeight="1" spans="1:26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ht="15.75" customHeight="1" spans="1:26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ht="15.75" customHeight="1" spans="1:26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ht="15.75" customHeight="1" spans="1:26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ht="15.75" customHeight="1" spans="1:26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ht="15.75" customHeight="1" spans="1:26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ht="15.75" customHeight="1" spans="1:26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ht="15.75" customHeight="1" spans="1:26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ht="15.75" customHeight="1" spans="1:26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ht="15.75" customHeight="1" spans="1:26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ht="15.75" customHeight="1" spans="1:26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ht="15.75" customHeight="1" spans="1:26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ht="15.75" customHeight="1" spans="1:26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ht="15.75" customHeight="1" spans="1:26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ht="15.75" customHeight="1" spans="1:26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ht="15.75" customHeight="1" spans="1:26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ht="15.75" customHeight="1" spans="1:26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ht="15.75" customHeight="1" spans="1:26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ht="15.75" customHeight="1" spans="1:26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ht="15.75" customHeight="1" spans="1:26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ht="15.75" customHeight="1" spans="1:26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ht="15.75" customHeight="1" spans="1:26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ht="15.75" customHeight="1" spans="1:26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ht="15.75" customHeight="1" spans="1:26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ht="15.75" customHeight="1" spans="1:26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ht="15.75" customHeight="1" spans="1:26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ht="15.75" customHeight="1" spans="1:26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ht="15.75" customHeight="1" spans="1:26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ht="15.75" customHeight="1" spans="1:26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ht="15.75" customHeight="1" spans="1:26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ht="15.75" customHeight="1" spans="1:26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ht="15.75" customHeight="1" spans="1:26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ht="15.75" customHeight="1" spans="1:26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ht="15.75" customHeight="1" spans="1:26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ht="15.75" customHeight="1" spans="1:26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ht="15.75" customHeight="1" spans="1:26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ht="15.75" customHeight="1" spans="1:26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ht="15.75" customHeight="1" spans="1:26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ht="15.75" customHeight="1" spans="1:26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ht="15.75" customHeight="1" spans="1:26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ht="15.75" customHeight="1" spans="1:26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ht="15.75" customHeight="1" spans="1:26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ht="15.75" customHeight="1" spans="1:26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ht="15.75" customHeight="1" spans="1:26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ht="15.75" customHeight="1" spans="1:26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ht="15.75" customHeight="1" spans="1:26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ht="15.75" customHeight="1" spans="1:26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ht="15.75" customHeight="1" spans="1:26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ht="15.75" customHeight="1" spans="1:26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ht="15.75" customHeight="1" spans="1:26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ht="15.75" customHeight="1" spans="1:26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ht="15.75" customHeight="1" spans="1:26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ht="15.75" customHeight="1" spans="1:26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ht="15.75" customHeight="1" spans="1:26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ht="15.75" customHeight="1" spans="1:26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ht="15.75" customHeight="1" spans="1:26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ht="15.75" customHeight="1" spans="1:26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ht="15.75" customHeight="1" spans="1:26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ht="15.75" customHeight="1" spans="1:26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ht="15.75" customHeight="1" spans="1:26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ht="15.75" customHeight="1" spans="1:26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ht="15.75" customHeight="1" spans="1:26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ht="15.75" customHeight="1" spans="1:26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ht="15.75" customHeight="1" spans="1:26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ht="15.75" customHeight="1" spans="1:26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ht="15.75" customHeight="1" spans="1:26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ht="15.75" customHeight="1" spans="1:26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ht="15.75" customHeight="1" spans="1:26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ht="15.75" customHeight="1" spans="1:26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ht="15.75" customHeight="1" spans="1:26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ht="15.75" customHeight="1" spans="1:26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ht="15.75" customHeight="1" spans="1:26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ht="15.75" customHeight="1" spans="1:26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ht="15.75" customHeight="1" spans="1:26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ht="15.75" customHeight="1" spans="1:26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ht="15.75" customHeight="1" spans="1:26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ht="15.75" customHeight="1" spans="1:26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ht="15.75" customHeight="1" spans="1:26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ht="15.75" customHeight="1" spans="1:26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ht="15.75" customHeight="1" spans="1:26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ht="15.75" customHeight="1" spans="1:26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ht="15.75" customHeight="1" spans="1:26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ht="15.75" customHeight="1" spans="1:26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ht="15.75" customHeight="1" spans="1:26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ht="15.75" customHeight="1" spans="1:26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ht="15.75" customHeight="1" spans="1:26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ht="15.75" customHeight="1" spans="1:26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ht="15.75" customHeight="1" spans="1:26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ht="15.75" customHeight="1" spans="1:26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ht="15.75" customHeight="1" spans="1:26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ht="15.75" customHeight="1" spans="1:26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ht="15.75" customHeight="1" spans="1:26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ht="15.75" customHeight="1" spans="1:26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ht="15.75" customHeight="1" spans="1:26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ht="15.75" customHeight="1" spans="1:26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ht="15.75" customHeight="1" spans="1:26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ht="15.75" customHeight="1" spans="1:26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ht="15.75" customHeight="1" spans="1:26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ht="15.75" customHeight="1" spans="1:26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ht="15.75" customHeight="1" spans="1:26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ht="15.75" customHeight="1" spans="1:26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ht="15.75" customHeight="1" spans="1:26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ht="15.75" customHeight="1" spans="1:26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ht="15.75" customHeight="1" spans="1:26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ht="15.75" customHeight="1" spans="1:26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ht="15.75" customHeight="1" spans="1:26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ht="15.75" customHeight="1" spans="1:26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ht="15.75" customHeight="1" spans="1:26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ht="15.75" customHeight="1" spans="1:26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ht="15.75" customHeight="1" spans="1:26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ht="15.75" customHeight="1" spans="1:26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ht="15.75" customHeight="1" spans="1:26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ht="15.75" customHeight="1" spans="1:26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ht="15.75" customHeight="1" spans="1:26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ht="15.75" customHeight="1" spans="1:26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ht="15.75" customHeight="1" spans="1:26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ht="15.75" customHeight="1" spans="1:26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ht="15.75" customHeight="1" spans="1:26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ht="15.75" customHeight="1" spans="1:26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ht="15.75" customHeight="1" spans="1:26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ht="15.75" customHeight="1" spans="1:26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ht="15.75" customHeight="1" spans="1:26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ht="15.75" customHeight="1" spans="1:26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ht="15.75" customHeight="1" spans="1:26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ht="15.75" customHeight="1" spans="1:26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ht="15.75" customHeight="1" spans="1:26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ht="15.75" customHeight="1" spans="1:26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ht="15.75" customHeight="1" spans="1:26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ht="15.75" customHeight="1" spans="1:26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ht="15.75" customHeight="1" spans="1:26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ht="15.75" customHeight="1" spans="1:26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ht="15.75" customHeight="1" spans="1:26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ht="15.75" customHeight="1" spans="1:26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ht="15.75" customHeight="1" spans="1:26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ht="15.75" customHeight="1" spans="1:26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ht="15.75" customHeight="1" spans="1:26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ht="15.75" customHeight="1" spans="1:26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ht="15.75" customHeight="1" spans="1:26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ht="15.75" customHeight="1" spans="1:26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ht="15.75" customHeight="1" spans="1:26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ht="15.75" customHeight="1" spans="1:26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ht="15.75" customHeight="1" spans="1:26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ht="15.75" customHeight="1" spans="1:26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ht="15.75" customHeight="1" spans="1:26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ht="15.75" customHeight="1" spans="1:26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ht="15.75" customHeight="1" spans="1:26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ht="15.75" customHeight="1" spans="1:26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ht="15.75" customHeight="1" spans="1:26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ht="15.75" customHeight="1" spans="1:26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ht="15.75" customHeight="1" spans="1:26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ht="15.75" customHeight="1" spans="1:26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ht="15.75" customHeight="1" spans="1:26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ht="15.75" customHeight="1" spans="1:26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ht="15.75" customHeight="1" spans="1:26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ht="15.75" customHeight="1" spans="1:26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ht="15.75" customHeight="1" spans="1:26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ht="15.75" customHeight="1" spans="1:26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ht="15.75" customHeight="1" spans="1:26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ht="15.75" customHeight="1" spans="1:26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ht="15.75" customHeight="1" spans="1:26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ht="15.75" customHeight="1" spans="1:26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ht="15.75" customHeight="1" spans="1:26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ht="15.75" customHeight="1" spans="1:26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ht="15.75" customHeight="1" spans="1:26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ht="15.75" customHeight="1" spans="1:26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ht="15.75" customHeight="1" spans="1:26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ht="15.75" customHeight="1" spans="1:26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ht="15.75" customHeight="1" spans="1:26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ht="15.75" customHeight="1" spans="1:26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ht="15.75" customHeight="1" spans="1:26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ht="15.75" customHeight="1" spans="1:26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ht="15.75" customHeight="1" spans="1:26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ht="15.75" customHeight="1" spans="1:26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ht="15.75" customHeight="1" spans="1:26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ht="15.75" customHeight="1" spans="1:26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ht="15.75" customHeight="1" spans="1:26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ht="15.75" customHeight="1" spans="1:26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ht="15.75" customHeight="1" spans="1:26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ht="15.75" customHeight="1" spans="1:26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ht="15.75" customHeight="1" spans="1:26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ht="15.75" customHeight="1" spans="1:26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ht="15.75" customHeight="1" spans="1:26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ht="15.75" customHeight="1" spans="1:26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ht="15.75" customHeight="1" spans="1:26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ht="15.75" customHeight="1" spans="1:26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ht="15.75" customHeight="1" spans="1:26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ht="15.75" customHeight="1" spans="1:26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ht="15.75" customHeight="1" spans="1:26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ht="15.75" customHeight="1" spans="1:26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ht="15.75" customHeight="1" spans="1:26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ht="15.75" customHeight="1" spans="1:26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ht="15.75" customHeight="1" spans="1:26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ht="15.75" customHeight="1" spans="1:26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ht="15.75" customHeight="1" spans="1:26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ht="15.75" customHeight="1" spans="1:26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ht="15.75" customHeight="1" spans="1:26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ht="15.75" customHeight="1" spans="1:26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ht="15.75" customHeight="1" spans="1:26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ht="15.75" customHeight="1" spans="1:26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ht="15.75" customHeight="1" spans="1:26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ht="15.75" customHeight="1" spans="1:26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ht="15.75" customHeight="1" spans="1:26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ht="15.75" customHeight="1" spans="1:26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ht="15.75" customHeight="1" spans="1:26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ht="15.75" customHeight="1" spans="1:26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ht="15.75" customHeight="1" spans="1:26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ht="15.75" customHeight="1" spans="1:26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ht="15.75" customHeight="1" spans="1:26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ht="15.75" customHeight="1" spans="1:26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ht="15.75" customHeight="1" spans="1:26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ht="15.75" customHeight="1" spans="1:26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ht="15.75" customHeight="1" spans="1:26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ht="15.75" customHeight="1" spans="1:26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ht="15.75" customHeight="1" spans="1:26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ht="15.75" customHeight="1" spans="1:26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ht="15.75" customHeight="1" spans="1:26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ht="15.75" customHeight="1" spans="1:26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ht="15.75" customHeight="1" spans="1:26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ht="15.75" customHeight="1" spans="1:26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ht="15.75" customHeight="1" spans="1:26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ht="15.75" customHeight="1" spans="1:26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ht="15.75" customHeight="1" spans="1:26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ht="15.75" customHeight="1" spans="1:26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ht="15.75" customHeight="1" spans="1:26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ht="15.75" customHeight="1" spans="1:26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ht="15.75" customHeight="1" spans="1:26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ht="15.75" customHeight="1" spans="1:26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ht="15.75" customHeight="1" spans="1:26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ht="15.75" customHeight="1" spans="1:26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ht="15.75" customHeight="1" spans="1:26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ht="15.75" customHeight="1" spans="1:26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ht="15.75" customHeight="1" spans="1:26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ht="15.75" customHeight="1" spans="1:26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ht="15.75" customHeight="1" spans="1:26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ht="15.75" customHeight="1" spans="1:26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ht="15.75" customHeight="1" spans="1:26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ht="15.75" customHeight="1" spans="1:26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ht="15.75" customHeight="1" spans="1:26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ht="15.75" customHeight="1" spans="1:26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ht="15.75" customHeight="1" spans="1:26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ht="15.75" customHeight="1" spans="1:26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ht="15.75" customHeight="1" spans="1:26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ht="15.75" customHeight="1" spans="1:26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ht="15.75" customHeight="1" spans="1:26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ht="15.75" customHeight="1" spans="1:26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ht="15.75" customHeight="1" spans="1:26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ht="15.75" customHeight="1" spans="1:26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ht="15.75" customHeight="1" spans="1:26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ht="15.75" customHeight="1" spans="1:26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ht="15.75" customHeight="1" spans="1:26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ht="15.75" customHeight="1" spans="1:26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ht="15.75" customHeight="1" spans="1:26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ht="15.75" customHeight="1" spans="1:26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ht="15.75" customHeight="1" spans="1:26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ht="15.75" customHeight="1" spans="1:26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ht="15.75" customHeight="1" spans="1:26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ht="15.75" customHeight="1" spans="1:26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ht="15.75" customHeight="1" spans="1:26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ht="15.75" customHeight="1" spans="1:26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ht="15.75" customHeight="1" spans="1:26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ht="15.75" customHeight="1" spans="1:26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ht="15.75" customHeight="1" spans="1:26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ht="15.75" customHeight="1" spans="1:26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ht="15.75" customHeight="1" spans="1:26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ht="15.75" customHeight="1" spans="1:26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ht="15.75" customHeight="1" spans="1:26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ht="15.75" customHeight="1" spans="1:26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ht="15.75" customHeight="1" spans="1:26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ht="15.75" customHeight="1" spans="1:26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ht="15.75" customHeight="1" spans="1:26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ht="15.75" customHeight="1" spans="1:26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ht="15.75" customHeight="1" spans="1:26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ht="15.75" customHeight="1" spans="1:26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ht="15.75" customHeight="1" spans="1:26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ht="15.75" customHeight="1" spans="1:26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ht="15.75" customHeight="1" spans="1:26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ht="15.75" customHeight="1" spans="1:26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ht="15.75" customHeight="1" spans="1:26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ht="15.75" customHeight="1" spans="1:26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ht="15.75" customHeight="1" spans="1:26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ht="15.75" customHeight="1" spans="1:26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ht="15.75" customHeight="1" spans="1:26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ht="15.75" customHeight="1" spans="1:26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ht="15.75" customHeight="1" spans="1:26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ht="15.75" customHeight="1" spans="1:26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ht="15.75" customHeight="1" spans="1:26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ht="15.75" customHeight="1" spans="1:26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ht="15.75" customHeight="1" spans="1:26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ht="15.75" customHeight="1" spans="1:26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ht="15.75" customHeight="1" spans="1:26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ht="15.75" customHeight="1" spans="1:26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ht="15.75" customHeight="1" spans="1:26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ht="15.75" customHeight="1" spans="1:26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ht="15.75" customHeight="1" spans="1:26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ht="15.75" customHeight="1" spans="1:26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ht="15.75" customHeight="1" spans="1:26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ht="15.75" customHeight="1" spans="1:26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ht="15.75" customHeight="1" spans="1:26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ht="15.75" customHeight="1" spans="1:26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ht="15.75" customHeight="1" spans="1:26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ht="15.75" customHeight="1" spans="1:26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ht="15.75" customHeight="1" spans="1:26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ht="15.75" customHeight="1" spans="1:26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ht="15.75" customHeight="1" spans="1:26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ht="15.75" customHeight="1" spans="1:26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ht="15.75" customHeight="1" spans="1:26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ht="15.75" customHeight="1" spans="1:26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ht="15.75" customHeight="1" spans="1:26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ht="15.75" customHeight="1" spans="1:26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ht="15.75" customHeight="1" spans="1:26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ht="15.75" customHeight="1" spans="1:26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ht="15.75" customHeight="1" spans="1:26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ht="15.75" customHeight="1" spans="1:26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ht="15.75" customHeight="1" spans="1:26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ht="15.75" customHeight="1" spans="1:26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ht="15.75" customHeight="1" spans="1:26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ht="15.75" customHeight="1" spans="1:26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ht="15.75" customHeight="1" spans="1:26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ht="15.75" customHeight="1" spans="1:26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ht="15.75" customHeight="1" spans="1:26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ht="15.75" customHeight="1" spans="1:26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ht="15.75" customHeight="1" spans="1:26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ht="15.75" customHeight="1" spans="1:26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ht="15.75" customHeight="1" spans="1:26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ht="15.75" customHeight="1" spans="1:26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ht="15.75" customHeight="1" spans="1:26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ht="15.75" customHeight="1" spans="1:26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ht="15.75" customHeight="1" spans="1:26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ht="15.75" customHeight="1" spans="1:26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ht="15.75" customHeight="1" spans="1:26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ht="15.75" customHeight="1" spans="1:26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ht="15.75" customHeight="1" spans="1:26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ht="15.75" customHeight="1" spans="1:26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ht="15.75" customHeight="1" spans="1:26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ht="15.75" customHeight="1" spans="1:26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ht="15.75" customHeight="1" spans="1:26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ht="15.75" customHeight="1" spans="1:26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ht="15.75" customHeight="1" spans="1:26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ht="15.75" customHeight="1" spans="1:26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ht="15.75" customHeight="1" spans="1:26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ht="15.75" customHeight="1" spans="1:26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ht="15.75" customHeight="1" spans="1:26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ht="15.75" customHeight="1" spans="1:26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ht="15.75" customHeight="1" spans="1:26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ht="15.75" customHeight="1" spans="1:26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ht="15.75" customHeight="1" spans="1:26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ht="15.75" customHeight="1" spans="1:26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ht="15.75" customHeight="1" spans="1:26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ht="15.75" customHeight="1" spans="1:26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ht="15.75" customHeight="1" spans="1:26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ht="15.75" customHeight="1" spans="1:26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ht="15.75" customHeight="1" spans="1:26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ht="15.75" customHeight="1" spans="1:26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ht="15.75" customHeight="1" spans="1:26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ht="15.75" customHeight="1" spans="1:26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ht="15.75" customHeight="1" spans="1:26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ht="15.75" customHeight="1" spans="1:26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ht="15.75" customHeight="1" spans="1:26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ht="15.75" customHeight="1" spans="1:26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ht="15.75" customHeight="1" spans="1:26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ht="15.75" customHeight="1" spans="1:26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ht="15.75" customHeight="1" spans="1:26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ht="15.75" customHeight="1" spans="1:26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ht="15.75" customHeight="1" spans="1:26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ht="15.75" customHeight="1" spans="1:26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ht="15.75" customHeight="1" spans="1:26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ht="15.75" customHeight="1" spans="1:26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ht="15.75" customHeight="1" spans="1:26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ht="15.75" customHeight="1" spans="1:26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ht="15.75" customHeight="1" spans="1:26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ht="15.75" customHeight="1" spans="1:26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ht="15.75" customHeight="1" spans="1:26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ht="15.75" customHeight="1" spans="1:26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ht="15.75" customHeight="1" spans="1:26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ht="15.75" customHeight="1" spans="1:26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ht="15.75" customHeight="1" spans="1:26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ht="15.75" customHeight="1" spans="1:26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ht="15.75" customHeight="1" spans="1:26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ht="15.75" customHeight="1" spans="1:26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ht="15.75" customHeight="1" spans="1:26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ht="15.75" customHeight="1" spans="1:26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ht="15.75" customHeight="1" spans="1:26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ht="15.75" customHeight="1" spans="1:26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ht="15.75" customHeight="1" spans="1:26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ht="15.75" customHeight="1" spans="1:26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ht="15.75" customHeight="1" spans="1:26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ht="15.75" customHeight="1" spans="1:26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ht="15.75" customHeight="1" spans="1:26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ht="15.75" customHeight="1" spans="1:26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ht="15.75" customHeight="1" spans="1:26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ht="15.75" customHeight="1" spans="1:26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ht="15.75" customHeight="1" spans="1:26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ht="15.75" customHeight="1" spans="1:26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ht="15.75" customHeight="1" spans="1:26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ht="15.75" customHeight="1" spans="1:26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ht="15.75" customHeight="1" spans="1:26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ht="15.75" customHeight="1" spans="1:26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ht="15.75" customHeight="1" spans="1:26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ht="15.75" customHeight="1" spans="1:26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ht="15.75" customHeight="1" spans="1:26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ht="15.75" customHeight="1" spans="1:26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ht="15.75" customHeight="1" spans="1:26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ht="15.75" customHeight="1" spans="1:26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ht="15.75" customHeight="1" spans="1:26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ht="15.75" customHeight="1" spans="1:26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ht="15.75" customHeight="1" spans="1:26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ht="15.75" customHeight="1" spans="1:26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ht="15.75" customHeight="1" spans="1:26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ht="15.75" customHeight="1" spans="1:26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ht="15.75" customHeight="1" spans="1:26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ht="15.75" customHeight="1" spans="1:26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ht="15.75" customHeight="1" spans="1:26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ht="15.75" customHeight="1" spans="1:26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ht="15.75" customHeight="1" spans="1:26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ht="15.75" customHeight="1" spans="1:26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ht="15.75" customHeight="1" spans="1:26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ht="15.75" customHeight="1" spans="1:26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ht="15.75" customHeight="1" spans="1:26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ht="15.75" customHeight="1" spans="1:26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ht="15.75" customHeight="1" spans="1:26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ht="15.75" customHeight="1" spans="1:26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ht="15.75" customHeight="1" spans="1:26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ht="15.75" customHeight="1" spans="1:26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ht="15.75" customHeight="1" spans="1:26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ht="15.75" customHeight="1" spans="1:26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ht="15.75" customHeight="1" spans="1:26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ht="15.75" customHeight="1" spans="1:26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ht="15.75" customHeight="1" spans="1:26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ht="15.75" customHeight="1" spans="1:26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ht="15.75" customHeight="1" spans="1:26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ht="15.75" customHeight="1" spans="1:26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ht="15.75" customHeight="1" spans="1:26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ht="15.75" customHeight="1" spans="1:26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ht="15.75" customHeight="1" spans="1:26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ht="15.75" customHeight="1" spans="1:26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ht="15.75" customHeight="1" spans="1:26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ht="15.75" customHeight="1" spans="1:26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ht="15.75" customHeight="1" spans="1:26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ht="15.75" customHeight="1" spans="1:26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ht="15.75" customHeight="1" spans="1:26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ht="15.75" customHeight="1" spans="1:26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ht="15.75" customHeight="1" spans="1:26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ht="15.75" customHeight="1" spans="1:26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ht="15.75" customHeight="1" spans="1:26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ht="15.75" customHeight="1" spans="1:26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ht="15.75" customHeight="1" spans="1:26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ht="15.75" customHeight="1" spans="1:26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ht="15.75" customHeight="1" spans="1:26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ht="15.75" customHeight="1" spans="1:26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ht="15.75" customHeight="1" spans="1:26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ht="15.75" customHeight="1" spans="1:26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ht="15.75" customHeight="1" spans="1:26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ht="15.75" customHeight="1" spans="1:26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ht="15.75" customHeight="1" spans="1:26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ht="15.75" customHeight="1" spans="1:26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ht="15.75" customHeight="1" spans="1:26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ht="15.75" customHeight="1" spans="1:26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ht="15.75" customHeight="1" spans="1:26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ht="15.75" customHeight="1" spans="1:26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ht="15.75" customHeight="1" spans="1:26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ht="15.75" customHeight="1" spans="1:26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ht="15.75" customHeight="1" spans="1:26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ht="15.75" customHeight="1" spans="1:26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ht="15.75" customHeight="1" spans="1:26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ht="15.75" customHeight="1" spans="1:26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ht="15.75" customHeight="1" spans="1:26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ht="15.75" customHeight="1" spans="1:26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ht="15.75" customHeight="1" spans="1:26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ht="15.75" customHeight="1" spans="1:26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ht="15.75" customHeight="1" spans="1:26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ht="15.75" customHeight="1" spans="1:26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ht="15.75" customHeight="1" spans="1:26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ht="15.75" customHeight="1" spans="1:26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ht="15.75" customHeight="1" spans="1:26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ht="15.75" customHeight="1" spans="1:26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ht="15.75" customHeight="1" spans="1:26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ht="15.75" customHeight="1" spans="1:26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ht="15.75" customHeight="1" spans="1:26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ht="15.75" customHeight="1" spans="1:26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ht="15.75" customHeight="1" spans="1:26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ht="15.75" customHeight="1" spans="1:26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ht="15.75" customHeight="1" spans="1:26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ht="15.75" customHeight="1" spans="1:26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ht="15.75" customHeight="1" spans="1:26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ht="15.75" customHeight="1" spans="1:26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ht="15.75" customHeight="1" spans="1:26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ht="15.75" customHeight="1" spans="1:26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ht="15.75" customHeight="1" spans="1:26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ht="15.75" customHeight="1" spans="1:26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ht="15.75" customHeight="1" spans="1:26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ht="15.75" customHeight="1" spans="1:26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ht="15.75" customHeight="1" spans="1:26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ht="15.75" customHeight="1" spans="1:26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ht="15.75" customHeight="1" spans="1:26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ht="15.75" customHeight="1" spans="1:26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ht="15.75" customHeight="1" spans="1:26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ht="15.75" customHeight="1" spans="1:26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ht="15.75" customHeight="1" spans="1:26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ht="15.75" customHeight="1" spans="1:26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ht="15.75" customHeight="1" spans="1:26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ht="15.75" customHeight="1" spans="1:26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ht="15.75" customHeight="1" spans="1:26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ht="15.75" customHeight="1" spans="1:26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ht="15.75" customHeight="1" spans="1:26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ht="15.75" customHeight="1" spans="1:26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ht="15.75" customHeight="1" spans="1:26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ht="15.75" customHeight="1" spans="1:26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ht="15.75" customHeight="1" spans="1:26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ht="15.75" customHeight="1" spans="1:26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ht="15.75" customHeight="1" spans="1:26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ht="15.75" customHeight="1" spans="1:26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ht="15.75" customHeight="1" spans="1:26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ht="15.75" customHeight="1" spans="1:26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ht="15.75" customHeight="1" spans="1:26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ht="15.75" customHeight="1" spans="1:26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ht="15.75" customHeight="1" spans="1:26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ht="15.75" customHeight="1" spans="1:26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ht="15.75" customHeight="1" spans="1:26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ht="15.75" customHeight="1" spans="1:26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ht="15.75" customHeight="1" spans="1:26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ht="15.75" customHeight="1" spans="1:26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ht="15.75" customHeight="1" spans="1:26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ht="15.75" customHeight="1" spans="1:26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ht="15.75" customHeight="1" spans="1:26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ht="15.75" customHeight="1" spans="1:26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ht="15.75" customHeight="1" spans="1:26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ht="15.75" customHeight="1" spans="1:26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ht="15.75" customHeight="1" spans="1:26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ht="15.75" customHeight="1" spans="1:26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ht="15.75" customHeight="1" spans="1:26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ht="15.75" customHeight="1" spans="1:26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ht="15.75" customHeight="1" spans="1:26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ht="15.75" customHeight="1" spans="1:26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ht="15.75" customHeight="1" spans="1:26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ht="15.75" customHeight="1" spans="1:26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ht="15.75" customHeight="1" spans="1:26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ht="15.75" customHeight="1" spans="1:26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ht="15.75" customHeight="1" spans="1:26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ht="15.75" customHeight="1" spans="1:26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ht="15.75" customHeight="1" spans="1:26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ht="15.75" customHeight="1" spans="1:26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ht="15.75" customHeight="1" spans="1:26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ht="15.75" customHeight="1" spans="1:26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ht="15.75" customHeight="1" spans="1:26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ht="15.75" customHeight="1" spans="1:26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ht="15.75" customHeight="1" spans="1:26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ht="15.75" customHeight="1" spans="1:26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ht="15.75" customHeight="1" spans="1:26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ht="15.75" customHeight="1" spans="1:26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ht="15.75" customHeight="1" spans="1:26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ht="15.75" customHeight="1" spans="1:26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ht="15.75" customHeight="1" spans="1:26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ht="15.75" customHeight="1" spans="1:26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ht="15.75" customHeight="1" spans="1:26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ht="15.75" customHeight="1" spans="1:26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ht="15.75" customHeight="1" spans="1:26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ht="15.75" customHeight="1" spans="1:26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ht="15.75" customHeight="1" spans="1:26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ht="15.75" customHeight="1" spans="1:26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ht="15.75" customHeight="1" spans="1:26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ht="15.75" customHeight="1" spans="1:26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ht="15.75" customHeight="1" spans="1:26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ht="15.75" customHeight="1" spans="1:26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ht="15.75" customHeight="1" spans="1:26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ht="15.75" customHeight="1" spans="1:26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ht="15.75" customHeight="1" spans="1:26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ht="15.75" customHeight="1" spans="1:26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ht="15.75" customHeight="1" spans="1:26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 ht="15.75" customHeight="1" spans="1:26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 ht="15.75" customHeight="1" spans="1:26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 ht="15.75" customHeight="1" spans="1:26">
      <c r="A997" s="37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 ht="15.75" customHeight="1" spans="1:26">
      <c r="A998" s="37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 ht="15.75" customHeight="1" spans="1:26">
      <c r="A999" s="37"/>
      <c r="B999" s="37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 ht="15.75" customHeight="1" spans="1:26">
      <c r="A1000" s="37"/>
      <c r="B1000" s="37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</sheetData>
  <mergeCells count="4">
    <mergeCell ref="C1:I1"/>
    <mergeCell ref="O1:U1"/>
    <mergeCell ref="D2:G3"/>
    <mergeCell ref="P2:S3"/>
  </mergeCells>
  <pageMargins left="0.78740157480315" right="0.236220472440945" top="0.196850393700787" bottom="0.196850393700787" header="0" footer="0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冬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俞亦庭</cp:lastModifiedBy>
  <dcterms:created xsi:type="dcterms:W3CDTF">2026-09-21T06:36:10Z</dcterms:created>
  <dcterms:modified xsi:type="dcterms:W3CDTF">2026-09-21T06:37:44Z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D85543D1D73A40F39C2E555BA94EA0C6_11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